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filterPrivacy="1" codeName="ThisWorkbook"/>
  <xr:revisionPtr revIDLastSave="0" documentId="13_ncr:1_{BB3F6D53-8432-4CD2-9E90-8B50C8C676EA}" xr6:coauthVersionLast="36" xr6:coauthVersionMax="36" xr10:uidLastSave="{00000000-0000-0000-0000-000000000000}"/>
  <bookViews>
    <workbookView xWindow="0" yWindow="0" windowWidth="28800" windowHeight="12135" tabRatio="821" activeTab="5" xr2:uid="{67B0123A-99F2-44D1-8056-B33CF9CB35F4}"/>
  </bookViews>
  <sheets>
    <sheet name="汇总" sheetId="18" r:id="rId1"/>
    <sheet name="No.0001" sheetId="4" r:id="rId2"/>
    <sheet name="No.0002" sheetId="5" state="hidden" r:id="rId3"/>
    <sheet name="No.0003" sheetId="6" r:id="rId4"/>
    <sheet name="No.0004" sheetId="7" r:id="rId5"/>
    <sheet name="No.0005" sheetId="8" r:id="rId6"/>
    <sheet name="No.0006" sheetId="9" r:id="rId7"/>
    <sheet name="No.0007" sheetId="10" state="hidden" r:id="rId8"/>
    <sheet name="No.0008" sheetId="11" r:id="rId9"/>
    <sheet name="No.0009" sheetId="20" r:id="rId10"/>
    <sheet name="No.0101" sheetId="12" r:id="rId11"/>
    <sheet name="No.1101" sheetId="13" state="hidden" r:id="rId12"/>
    <sheet name="No.1102" sheetId="14" state="hidden" r:id="rId13"/>
    <sheet name="No.1201" sheetId="19" r:id="rId14"/>
    <sheet name="No.1501" sheetId="15" r:id="rId15"/>
    <sheet name="No.6101" sheetId="16" r:id="rId16"/>
    <sheet name="No.7101" sheetId="17" r:id="rId17"/>
  </sheets>
  <definedNames>
    <definedName name="_xlnm._FilterDatabase" localSheetId="4" hidden="1">No.0004!#REF!</definedName>
    <definedName name="_xlnm._FilterDatabase" localSheetId="5" hidden="1">No.0005!#REF!</definedName>
    <definedName name="_xlnm._FilterDatabase" localSheetId="6" hidden="1">No.0006!#REF!</definedName>
    <definedName name="_xlnm._FilterDatabase" localSheetId="7" hidden="1">No.0007!#REF!</definedName>
    <definedName name="_xlnm._FilterDatabase" localSheetId="10" hidden="1">No.0101!#REF!</definedName>
    <definedName name="_xlnm._FilterDatabase" localSheetId="11" hidden="1">No.1101!#REF!</definedName>
    <definedName name="获取工作表名">GET.WORKBOOK(1)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8" l="1"/>
  <c r="A1" i="16"/>
  <c r="A1" i="15"/>
  <c r="B15" i="18"/>
  <c r="A1" i="19"/>
  <c r="B14" i="18"/>
  <c r="A1" i="14"/>
  <c r="B13" i="18"/>
  <c r="A1" i="6"/>
  <c r="A1" i="5"/>
  <c r="B17" i="18"/>
  <c r="B8" i="18"/>
  <c r="B12" i="18"/>
  <c r="B3" i="18"/>
  <c r="B2" i="18"/>
  <c r="B4" i="18"/>
  <c r="B5" i="18"/>
  <c r="B6" i="18"/>
  <c r="B7" i="18"/>
  <c r="B9" i="18"/>
  <c r="B10" i="18"/>
  <c r="B11" i="18"/>
  <c r="B16" i="18"/>
  <c r="A1" i="17"/>
  <c r="A1" i="10"/>
  <c r="A1" i="11"/>
  <c r="A1" i="4"/>
  <c r="A1" i="20"/>
  <c r="A1" i="7"/>
  <c r="A1" i="9"/>
  <c r="A1" i="12"/>
  <c r="A1" i="13"/>
</calcChain>
</file>

<file path=xl/sharedStrings.xml><?xml version="1.0" encoding="utf-8"?>
<sst xmlns="http://schemas.openxmlformats.org/spreadsheetml/2006/main" count="5385" uniqueCount="1267">
  <si>
    <t>销量排名</t>
  </si>
  <si>
    <t>店名</t>
  </si>
  <si>
    <t>家常菜馆</t>
  </si>
  <si>
    <t>单量</t>
  </si>
  <si>
    <t>店铺评分</t>
  </si>
  <si>
    <t>距离</t>
  </si>
  <si>
    <t>8.00km</t>
  </si>
  <si>
    <t>配送费</t>
  </si>
  <si>
    <t>配送费¥8</t>
  </si>
  <si>
    <t>满减力度</t>
  </si>
  <si>
    <t>满30减22，满60减32，满90减40</t>
  </si>
  <si>
    <t>梁小猴铁板炒饭(曹杨路店)</t>
  </si>
  <si>
    <t>3.36km</t>
  </si>
  <si>
    <t>远距离配送费¥4.3</t>
  </si>
  <si>
    <t>满21减19，满45减22，满60减30，满80减40，满120减50</t>
  </si>
  <si>
    <t>曼玲粥店(中山北路店)</t>
  </si>
  <si>
    <t>4.53km</t>
  </si>
  <si>
    <t>远距离配送费¥10.3</t>
  </si>
  <si>
    <t>满25减16，满49减22，满79减27</t>
  </si>
  <si>
    <t>和记小菜.u味儿（中环百联店）</t>
  </si>
  <si>
    <t>2.53km</t>
  </si>
  <si>
    <t>远距离配送费¥6.8</t>
  </si>
  <si>
    <t>满35减15，满75减30，满110减45</t>
  </si>
  <si>
    <t>湘味农家炒菜</t>
  </si>
  <si>
    <t>4.90km</t>
  </si>
  <si>
    <t>远距离配送费¥5.8</t>
  </si>
  <si>
    <t>满35减23，满60减34，满100减49，满200减94，满500减190</t>
  </si>
  <si>
    <t>伊鼎湘常德牛肉粉(曹杨路店)</t>
  </si>
  <si>
    <t>5.09km</t>
  </si>
  <si>
    <t>远距离配送费¥8.8</t>
  </si>
  <si>
    <t>满22减17，满38减19，满55减26，满95减35</t>
  </si>
  <si>
    <t>三米粥铺(金沙江店)</t>
  </si>
  <si>
    <t>289m</t>
  </si>
  <si>
    <t>配送费¥4.8</t>
  </si>
  <si>
    <t>满25减16，满49减21，满77减26</t>
  </si>
  <si>
    <t>七小姐的58道菜(曹杨路店)</t>
  </si>
  <si>
    <t>配送费¥9</t>
  </si>
  <si>
    <t>满30减17，满60减33，满100减44</t>
  </si>
  <si>
    <t>A梦Eamonns(枣阳店)</t>
  </si>
  <si>
    <t>2.89km</t>
  </si>
  <si>
    <t>配送费¥1</t>
  </si>
  <si>
    <t>满5减4，满45减8，满80减12，满120减20</t>
  </si>
  <si>
    <t>杨国福麻辣烫(镇坪路店)</t>
  </si>
  <si>
    <t>6.35km</t>
  </si>
  <si>
    <t>远距离配送费¥11.3</t>
  </si>
  <si>
    <t>满25减11，满50减20，满80减30</t>
  </si>
  <si>
    <t>南京大牌档（中山公园店）</t>
  </si>
  <si>
    <t>5.15km</t>
  </si>
  <si>
    <t>远距离配送费¥11</t>
  </si>
  <si>
    <t>满25减7，满40减16，满60减24，满100减40</t>
  </si>
  <si>
    <t>来个椒麻鸡(环球港店)</t>
  </si>
  <si>
    <t>4.52km</t>
  </si>
  <si>
    <t>远距离配送费¥7.3</t>
  </si>
  <si>
    <t>满20减19，满51减26，满71减36，满121减56</t>
  </si>
  <si>
    <t>卡漫莫尼蛋糕</t>
  </si>
  <si>
    <t>8.47km</t>
  </si>
  <si>
    <t>免配送费</t>
  </si>
  <si>
    <t>满80减15，满150减20，满260减25，满400减30</t>
  </si>
  <si>
    <t>湘印·一家有态度的湘菜馆(中山公园店)</t>
  </si>
  <si>
    <t>5.81km</t>
  </si>
  <si>
    <t>满10减7，满60减14，满100减26</t>
  </si>
  <si>
    <t>福荣祥烧腊（真光路店）</t>
  </si>
  <si>
    <t>2.12km</t>
  </si>
  <si>
    <t>满15减11，满40减18，满55减25，满75减32</t>
  </si>
  <si>
    <t>丰收日（中山公园店）</t>
  </si>
  <si>
    <t>5.46km</t>
  </si>
  <si>
    <t>满40减15，满70减32，满100减40</t>
  </si>
  <si>
    <t>小酌小炒米饭（中山北路店）</t>
  </si>
  <si>
    <t>4.62km</t>
  </si>
  <si>
    <t>配送费¥7.5</t>
  </si>
  <si>
    <t>满10减10，满30减17，满59减26</t>
  </si>
  <si>
    <t>实惠家常菜</t>
  </si>
  <si>
    <t>5.78km</t>
  </si>
  <si>
    <t>远距离配送费¥9.8</t>
  </si>
  <si>
    <t>满25减12，满50减18，满100减23</t>
  </si>
  <si>
    <t>老妈烫饭(汇融店)</t>
  </si>
  <si>
    <t>5.02km</t>
  </si>
  <si>
    <t>远距离配送费¥7.8</t>
  </si>
  <si>
    <t>满20减19，满45减22，满65减32，满85减42，满100减52</t>
  </si>
  <si>
    <t>宏泰祥生煎店</t>
  </si>
  <si>
    <t>2.76km</t>
  </si>
  <si>
    <t>远距离配送费¥3.8</t>
  </si>
  <si>
    <t>满28减14，满45减22，满70减25</t>
  </si>
  <si>
    <t>早安山丘(汇金店)</t>
  </si>
  <si>
    <t>4.45km</t>
  </si>
  <si>
    <t>配送费¥7</t>
  </si>
  <si>
    <t>满25减8，满35减13，满45减16，满65减22，满100减40</t>
  </si>
  <si>
    <t>小桃园(金沙江路店)</t>
  </si>
  <si>
    <t>2.60km</t>
  </si>
  <si>
    <t>配送费¥5</t>
  </si>
  <si>
    <t>满25减7，满35减12，满45减15，满60减20，满80减30</t>
  </si>
  <si>
    <t>小蛮椒麻辣烫(中山公园店)</t>
  </si>
  <si>
    <t>5.00km</t>
  </si>
  <si>
    <t>满25减12，满39减15，满50减17，满75减22</t>
  </si>
  <si>
    <t>速记黄焖鸡米饭</t>
  </si>
  <si>
    <t>2.19km</t>
  </si>
  <si>
    <t>远距离配送费¥4.8</t>
  </si>
  <si>
    <t>满20减13，满30减16，满45减19，满78减22，满100减25</t>
  </si>
  <si>
    <t>汉霸汉堡(真北路店)</t>
  </si>
  <si>
    <t>3.45km</t>
  </si>
  <si>
    <t>满35减24，满50减33，满75减45</t>
  </si>
  <si>
    <t>沙野轻食(环球港店)</t>
  </si>
  <si>
    <t>4.54km</t>
  </si>
  <si>
    <t>满30减20，满50减22，满75减25，满90减27，满110减32</t>
  </si>
  <si>
    <t>觅姐汤可以喝的麻辣烫(北新泾店)</t>
  </si>
  <si>
    <t>2.32km</t>
  </si>
  <si>
    <t>满25减14，满38减17，满45减23，满75减30</t>
  </si>
  <si>
    <t>德克士(北石)</t>
  </si>
  <si>
    <t>3.08km</t>
  </si>
  <si>
    <t>满40减20，满60减30，满80减40</t>
  </si>
  <si>
    <t>轻膳·沙拉健康餐(凌空SOHO店)</t>
  </si>
  <si>
    <t>2.66km</t>
  </si>
  <si>
    <t>远距离配送费¥5.3</t>
  </si>
  <si>
    <t>满35减21，满46减24，满78减31，满118减42</t>
  </si>
  <si>
    <t>漫风情脆皮鸡米饭</t>
  </si>
  <si>
    <t>3.42km</t>
  </si>
  <si>
    <t>满26减26，满48减28，满78减45，满110减63，满140减83</t>
  </si>
  <si>
    <t>辣府冒菜(金沙江路店)</t>
  </si>
  <si>
    <t>200m</t>
  </si>
  <si>
    <t>配送费¥5.3</t>
  </si>
  <si>
    <t>满38减12，满60减21，满77减25</t>
  </si>
  <si>
    <t>重庆鸡公煲(协和路店)</t>
  </si>
  <si>
    <t>满22减22，满58减32，满98减42</t>
  </si>
  <si>
    <t>四海游龙(巴黎春天店)</t>
  </si>
  <si>
    <t>4.15km</t>
  </si>
  <si>
    <t>远距离配送费¥9.3</t>
  </si>
  <si>
    <t>满30减12，满49减20</t>
  </si>
  <si>
    <t>天府冒菜</t>
  </si>
  <si>
    <t>6.28km</t>
  </si>
  <si>
    <t>满30减20，满50减24，满100减49</t>
  </si>
  <si>
    <t>小杨生煎(小杨生煎118店)</t>
  </si>
  <si>
    <t>170m</t>
  </si>
  <si>
    <t>满25减3</t>
  </si>
  <si>
    <t>隐烫(真光路店)</t>
  </si>
  <si>
    <t>2.10km</t>
  </si>
  <si>
    <t>满25减15，满45减22，满70减35</t>
  </si>
  <si>
    <t>小蹄大做(环球港店)</t>
  </si>
  <si>
    <t>满19减19，满50减28，满80减38，满120减45，满150减60</t>
  </si>
  <si>
    <t>秘制黄焖鸡米饭</t>
  </si>
  <si>
    <t>2.62km</t>
  </si>
  <si>
    <t>满15减12，满30减15，满45减17，满79减20</t>
  </si>
  <si>
    <t>桂满陇(天山路店)</t>
  </si>
  <si>
    <t>4.19km</t>
  </si>
  <si>
    <t>远距离配送费¥9</t>
  </si>
  <si>
    <t>满80减15</t>
  </si>
  <si>
    <t>差一碗鸡汤饭(武宁路店)</t>
  </si>
  <si>
    <t>4.42km</t>
  </si>
  <si>
    <t>满20减16，满59减26，满99减36</t>
  </si>
  <si>
    <t>店铺编号</t>
    <phoneticPr fontId="1" type="noConversion"/>
  </si>
  <si>
    <t>店铺名</t>
    <phoneticPr fontId="1" type="noConversion"/>
  </si>
  <si>
    <t>No.0001</t>
    <phoneticPr fontId="1" type="noConversion"/>
  </si>
  <si>
    <t>No.0002</t>
  </si>
  <si>
    <t>No.0003</t>
  </si>
  <si>
    <t>No.0004</t>
  </si>
  <si>
    <t>No.0005</t>
  </si>
  <si>
    <t>No.0006</t>
  </si>
  <si>
    <t>No.0007</t>
  </si>
  <si>
    <t>No.0008</t>
  </si>
  <si>
    <t>No.0009</t>
  </si>
  <si>
    <t>No.0101</t>
    <phoneticPr fontId="1" type="noConversion"/>
  </si>
  <si>
    <t>No.1101</t>
    <phoneticPr fontId="1" type="noConversion"/>
  </si>
  <si>
    <t>No.1102</t>
    <phoneticPr fontId="1" type="noConversion"/>
  </si>
  <si>
    <t>No.1201</t>
    <phoneticPr fontId="1" type="noConversion"/>
  </si>
  <si>
    <t>No.1501</t>
    <phoneticPr fontId="1" type="noConversion"/>
  </si>
  <si>
    <t>No.6101</t>
    <phoneticPr fontId="1" type="noConversion"/>
  </si>
  <si>
    <t>No.7101</t>
    <phoneticPr fontId="1" type="noConversion"/>
  </si>
  <si>
    <t>阿文夜市豆浆(霍山路店)</t>
  </si>
  <si>
    <t>4.88km</t>
  </si>
  <si>
    <t>满6减5，满20减6，满40减10，满60减15，满80减20</t>
  </si>
  <si>
    <t>三米粥铺(五角场店)</t>
  </si>
  <si>
    <t>2.50km</t>
  </si>
  <si>
    <t>满25减15，满49减20，满75减25</t>
  </si>
  <si>
    <t>曼玲粥店(控江路店)</t>
  </si>
  <si>
    <t>2.81km</t>
  </si>
  <si>
    <t>小桃园（鲁迅公园店）</t>
  </si>
  <si>
    <t>4.55km</t>
  </si>
  <si>
    <t>配送费¥10</t>
  </si>
  <si>
    <t>满25减11，满30减14，满40减16，满60减25，满100减40</t>
  </si>
  <si>
    <t>A梦Eamonns(通北店)</t>
  </si>
  <si>
    <t>3.92km</t>
  </si>
  <si>
    <t>配送费¥3</t>
  </si>
  <si>
    <t>大开沙界Lite沙拉果汁轻食站(复旦店)</t>
  </si>
  <si>
    <t>967m</t>
  </si>
  <si>
    <t>配送费¥2.8</t>
  </si>
  <si>
    <t>满30减20，满60减40，满100减60，满150减90，满200减120</t>
  </si>
  <si>
    <t>粥宫壹号(虹口足球场店)</t>
  </si>
  <si>
    <t>满25减15，满49减20，满79减25</t>
  </si>
  <si>
    <t>冒菜遇见香锅(中山北一路店)</t>
  </si>
  <si>
    <t>满35减27，满59减43，满85减58，满135减70，满185减80</t>
  </si>
  <si>
    <t>多乐黄山菜饭</t>
  </si>
  <si>
    <t>3.29km</t>
  </si>
  <si>
    <t>满25减16，满39减18，满65减22，满79减25，满109减32</t>
  </si>
  <si>
    <t>上海老字号咸肉菜饭骨头汤</t>
  </si>
  <si>
    <t>3.11km</t>
  </si>
  <si>
    <t>远距离配送费¥2.3</t>
  </si>
  <si>
    <t>满24减15，满49减24，满99减35，满500减110</t>
  </si>
  <si>
    <t>小蛮椒麻辣烫（虹口龙之梦店)</t>
  </si>
  <si>
    <t>4.99km</t>
  </si>
  <si>
    <t>满25减12，满36减14，满47减16，满58减18，满69减20</t>
  </si>
  <si>
    <t>14.20km</t>
  </si>
  <si>
    <t>远距离配送费¥36</t>
  </si>
  <si>
    <t>津津有味家常菜(米兰广场店)</t>
  </si>
  <si>
    <t>1.43km</t>
  </si>
  <si>
    <t>满31减20，满50减26，满78减37，满108减46，满168减55</t>
  </si>
  <si>
    <t>和番丼飯(杨浦店)</t>
  </si>
  <si>
    <t>1.87km</t>
  </si>
  <si>
    <t>配送费¥4.3</t>
  </si>
  <si>
    <t>满20减17，满45减24，满65减29，满85减30，满120减35</t>
  </si>
  <si>
    <t>17.62km</t>
  </si>
  <si>
    <t>嗲来兮夜市大饼油条·大食堂（四平路店）</t>
  </si>
  <si>
    <t>2.84km</t>
  </si>
  <si>
    <t>满25减5，满45减12，满65减16，满100减35</t>
  </si>
  <si>
    <t>甜心脆皮鸡饭(波阳路店)</t>
  </si>
  <si>
    <t>5.35km</t>
  </si>
  <si>
    <t>满10减9，满24减24，满40减29，满70减49，满100减65</t>
  </si>
  <si>
    <t>湘滋味精品湘菜(杨浦店)</t>
  </si>
  <si>
    <t>2.63km</t>
  </si>
  <si>
    <t>远距离配送费¥1.8</t>
  </si>
  <si>
    <t>满30减15，满60减25，满90减35</t>
  </si>
  <si>
    <t>忆锅鸡煲(五角场店)</t>
  </si>
  <si>
    <t>2.91km</t>
  </si>
  <si>
    <t>满22减21，满58减30，满98减40</t>
  </si>
  <si>
    <t>三六九木桶饭(虹口店)</t>
  </si>
  <si>
    <t>满25减17，满35减21，满55减30，满75减38，满110减50</t>
  </si>
  <si>
    <t>13.81km</t>
  </si>
  <si>
    <t>远距离配送费¥33</t>
  </si>
  <si>
    <t>低卡煮艺沙拉轻食(虹口店)</t>
  </si>
  <si>
    <t>4.76km</t>
  </si>
  <si>
    <t>满32减19，满52减23，满65减27，满80减31，满100减35</t>
  </si>
  <si>
    <t>妯娌老鸭粉丝汤(虹口龙之梦店)</t>
  </si>
  <si>
    <t>满25减12，满35减15，满60减22，满80减26，满100减30</t>
  </si>
  <si>
    <t>淮南牛肉汤特色锅贴(四川北路店)</t>
  </si>
  <si>
    <t>5.11km</t>
  </si>
  <si>
    <t>满25减20，满35减23，满60减30</t>
  </si>
  <si>
    <t>老光头生煎锅贴(兰州路店)</t>
  </si>
  <si>
    <t>4.33km</t>
  </si>
  <si>
    <t>满25减10，满50减15，满80减23</t>
  </si>
  <si>
    <t>14.21km</t>
  </si>
  <si>
    <t>深井大叔港式烧腊</t>
  </si>
  <si>
    <t>中原店</t>
  </si>
  <si>
    <t>4.58km</t>
  </si>
  <si>
    <t>满25减10，满55减15，满85减20</t>
  </si>
  <si>
    <t>沙拉自通(五角场店)</t>
  </si>
  <si>
    <t>1.77km</t>
  </si>
  <si>
    <t>配送费¥3.8</t>
  </si>
  <si>
    <t>满30减19，满50减23，满60减25，满80减28，满100减30</t>
  </si>
  <si>
    <t>湘当有味(四平路店)</t>
  </si>
  <si>
    <t>2.85km</t>
  </si>
  <si>
    <t>满30减20，满60减30，满90减40</t>
  </si>
  <si>
    <t>川府家常菜(四川北路店)</t>
  </si>
  <si>
    <t>满30减24，满60减31，满90减41，满120减50，满199减64</t>
  </si>
  <si>
    <t>江西特色小吃</t>
  </si>
  <si>
    <t>满30减16，满60减20，满80减30，满128减40</t>
  </si>
  <si>
    <t>差一碗鸡汤饭(五角场店)</t>
  </si>
  <si>
    <t>1.85km</t>
  </si>
  <si>
    <t>配送费¥1.8</t>
  </si>
  <si>
    <t>满20减18，满59减26，满99减36</t>
  </si>
  <si>
    <t>觅哥可以干拌的麻辣烫（龙之梦店）</t>
  </si>
  <si>
    <t>4.65km</t>
  </si>
  <si>
    <t>满25减18，满45减27，满70减33，满99减45</t>
  </si>
  <si>
    <t>16.04km</t>
  </si>
  <si>
    <t>远距离配送费¥44</t>
  </si>
  <si>
    <t>张姐脆皮鸡饭烤肉拌饭</t>
  </si>
  <si>
    <t>满20减17，满45减29，满60减36</t>
  </si>
  <si>
    <t>重庆鸡公煲(控江路店)</t>
  </si>
  <si>
    <t>2.78km</t>
  </si>
  <si>
    <t>满22减22，满58减30，满98减40</t>
  </si>
  <si>
    <t>浏阳蒸菜(龙之梦店)</t>
  </si>
  <si>
    <t>满30减21，满60减30，满100减50，满150减68，满300减130</t>
  </si>
  <si>
    <t>晴海饭堂.大包.佛跳墙(控江店)</t>
  </si>
  <si>
    <t>2.79km</t>
  </si>
  <si>
    <t>远距离配送费¥6.3</t>
  </si>
  <si>
    <t>满22减12，满58减25，满98减36，满228减69，满398减102</t>
  </si>
  <si>
    <t>饭米粒儿家常菜(复旦店)</t>
  </si>
  <si>
    <t>1.14km</t>
  </si>
  <si>
    <t>配送费¥0.3</t>
  </si>
  <si>
    <t>满32减24，满60减31，满98减48</t>
  </si>
  <si>
    <t>张姐脆皮鸡饭烤肉拌饭(延吉东路店)</t>
  </si>
  <si>
    <t>4.60km</t>
  </si>
  <si>
    <t>配送费¥6.9</t>
  </si>
  <si>
    <t>满26减26，满40减30，满70减44</t>
  </si>
  <si>
    <t>三米粥铺(张江店)</t>
  </si>
  <si>
    <t>2.42km</t>
  </si>
  <si>
    <t>满25减13，满49减20，满65减25</t>
  </si>
  <si>
    <t>南京大牌档(联洋广场店)</t>
  </si>
  <si>
    <t>7.35km</t>
  </si>
  <si>
    <t>远距离配送费¥15</t>
  </si>
  <si>
    <t>曼玲粥店(科苑路店)</t>
  </si>
  <si>
    <t>3.49km</t>
  </si>
  <si>
    <t>满25减15，满49减22，满79减27</t>
  </si>
  <si>
    <t>80后厨房</t>
  </si>
  <si>
    <t>390m</t>
  </si>
  <si>
    <t>满25减5，满100减6，满150减7</t>
  </si>
  <si>
    <t>妈妈烫饭（建中路店）</t>
  </si>
  <si>
    <t>353m</t>
  </si>
  <si>
    <t>满20减20，满45减25，满65减35，满85减45，满100减55</t>
  </si>
  <si>
    <t>22.21km</t>
  </si>
  <si>
    <t>觅姐汤可以喝的麻辣烫(紫薇路店)</t>
  </si>
  <si>
    <t>13m</t>
  </si>
  <si>
    <t>配送费¥3.3</t>
  </si>
  <si>
    <t>汉霸汉堡（高斯路店）</t>
  </si>
  <si>
    <t>389m</t>
  </si>
  <si>
    <t>桂满陇(长泰广场)</t>
  </si>
  <si>
    <t>1.93km</t>
  </si>
  <si>
    <t>配送费¥5.8</t>
  </si>
  <si>
    <t>沙野轻食(张江店)</t>
  </si>
  <si>
    <t>满30减19，满50减22，满75减25，满90减27，满110减30</t>
  </si>
  <si>
    <t>杨国福麻辣烫(荣科路店)</t>
  </si>
  <si>
    <t>3.69km</t>
  </si>
  <si>
    <t>满30减14，满38减16，满45减20，满55减22，满65减25</t>
  </si>
  <si>
    <t>正宗山东手工水饺</t>
  </si>
  <si>
    <t>3.10km</t>
  </si>
  <si>
    <t>满20减18，满50减28，满90减40</t>
  </si>
  <si>
    <t>焖饭大师(张江店)</t>
  </si>
  <si>
    <t>510m</t>
  </si>
  <si>
    <t>配送费¥2.3</t>
  </si>
  <si>
    <t>满11减10，满20减17，满45减20，满60减25，满100减30</t>
  </si>
  <si>
    <t>翘彩唇麻辣香锅(张江店)</t>
  </si>
  <si>
    <t>2.38km</t>
  </si>
  <si>
    <t>满28减17，满43减23，满70减33</t>
  </si>
  <si>
    <t>永和大王(张江店SH042）</t>
  </si>
  <si>
    <t>满35减10，满60减24</t>
  </si>
  <si>
    <t>阿拉丁麻辣烫(龙阳广场店)</t>
  </si>
  <si>
    <t>6.62km</t>
  </si>
  <si>
    <t>满30减17，满49减23，满69减30，满159减51</t>
  </si>
  <si>
    <t>俏江南(上海环球店)</t>
  </si>
  <si>
    <t>13.07km</t>
  </si>
  <si>
    <t>满8减8，满36减15，满60减25，满115减40</t>
  </si>
  <si>
    <t>小满手工粉（长泰店）</t>
  </si>
  <si>
    <t>1.82km</t>
  </si>
  <si>
    <t>满25减10，满45减16，满70减21</t>
  </si>
  <si>
    <t>1点点（张江汇智店）</t>
  </si>
  <si>
    <t>1.81km</t>
  </si>
  <si>
    <t>洪记三汁焖锅(张江店)</t>
  </si>
  <si>
    <t>2.46km</t>
  </si>
  <si>
    <t>满35减35，满90减50，满148减88</t>
  </si>
  <si>
    <t>川菜湘菜(张江店)</t>
  </si>
  <si>
    <t>配送费¥4</t>
  </si>
  <si>
    <t>满30减17，满60减29，满100减36</t>
  </si>
  <si>
    <t>味柏台式北方料理(汇智店)</t>
  </si>
  <si>
    <t>392m</t>
  </si>
  <si>
    <t>满30减18，满50减20</t>
  </si>
  <si>
    <t>汉堡王(上海张江店20082)</t>
  </si>
  <si>
    <t>3.81km</t>
  </si>
  <si>
    <t>远距离配送费¥8.3</t>
  </si>
  <si>
    <t>满55减10，满80减25</t>
  </si>
  <si>
    <t>丰收日（联洋广场店）</t>
  </si>
  <si>
    <t>7.33km</t>
  </si>
  <si>
    <t>炒FUN锅气炒饭(紫薇路店)</t>
  </si>
  <si>
    <t>4m</t>
  </si>
  <si>
    <t>满20减16，满45减18，满65减21，满80减25</t>
  </si>
  <si>
    <t>杨国福麻辣烫</t>
  </si>
  <si>
    <t>6.64km</t>
  </si>
  <si>
    <t>满30减15，满45减20，满75减30</t>
  </si>
  <si>
    <t>巨味麻辣烫(唐镇店)</t>
  </si>
  <si>
    <t>满25减18，满40减26，满60减38</t>
  </si>
  <si>
    <t>西贝莜面村(上海汇智店)</t>
  </si>
  <si>
    <t>2.04km</t>
  </si>
  <si>
    <t>满70减25，满110减35</t>
  </si>
  <si>
    <t>西味8道菜</t>
  </si>
  <si>
    <t>632m</t>
  </si>
  <si>
    <t>满25减8，满60减12，满100减17</t>
  </si>
  <si>
    <t>华莱士炸鸡汉堡（建中店）</t>
  </si>
  <si>
    <t>469m</t>
  </si>
  <si>
    <t>满36减19，满50减28，满80减40</t>
  </si>
  <si>
    <t>芙蓉树下冒菜(长泰广场店)</t>
  </si>
  <si>
    <t>2.01km</t>
  </si>
  <si>
    <t>满25减15，满55减26，满75减33，满115减49</t>
  </si>
  <si>
    <t>嘛哩嘛哩烫(传奇广场店)</t>
  </si>
  <si>
    <t>3.95km</t>
  </si>
  <si>
    <t>满2减1，满28减10，满45减15，满65减20，满95减30</t>
  </si>
  <si>
    <t>大鼓米线(长泰店)</t>
  </si>
  <si>
    <t>1.90km</t>
  </si>
  <si>
    <t>满10减9，满38减15，满70减25</t>
  </si>
  <si>
    <t>壹杯鲁肉饭(张江店)</t>
  </si>
  <si>
    <t>259m</t>
  </si>
  <si>
    <t>满25减17，满45减20，满70减24，满100减29</t>
  </si>
  <si>
    <t>沙拉煎饼</t>
  </si>
  <si>
    <t>10.73km</t>
  </si>
  <si>
    <t>远距离配送费¥24</t>
  </si>
  <si>
    <t>满29减16，满50减23，满80减38</t>
  </si>
  <si>
    <t>丸龟制面（长泰广场店）</t>
  </si>
  <si>
    <t>1.97km</t>
  </si>
  <si>
    <t>满20减5，满40减12，满60减24</t>
  </si>
  <si>
    <t>东方既白·肯德基的兄弟品牌（张江高科店）</t>
  </si>
  <si>
    <t>满40减20，满80减30</t>
  </si>
  <si>
    <t>五芳斋（高科中路店）</t>
  </si>
  <si>
    <t>满30减15，满60减30</t>
  </si>
  <si>
    <t>蜀地源冒菜（建中店）</t>
  </si>
  <si>
    <t>377m</t>
  </si>
  <si>
    <t>满35减23，满60减37，满100减57，满168减82</t>
  </si>
  <si>
    <t>正宗浏阳蒸菜</t>
  </si>
  <si>
    <t>208m</t>
  </si>
  <si>
    <t>满25减10，满60减15，满100减25</t>
  </si>
  <si>
    <t>3.63km</t>
  </si>
  <si>
    <t>曼玲粥店(陆家嘴店)</t>
  </si>
  <si>
    <t>803m</t>
  </si>
  <si>
    <t>淮南牛肉汤特色锅贴(八佰伴店)</t>
  </si>
  <si>
    <t>354m</t>
  </si>
  <si>
    <t>满26减19，满48减23，满88减30</t>
  </si>
  <si>
    <t>小蛮椒麻辣烫（八佰伴店）</t>
  </si>
  <si>
    <t>360m</t>
  </si>
  <si>
    <t>满28减12，满39减15，满48减17，满58减19，满69减21</t>
  </si>
  <si>
    <t>三米粥铺（招远路店）</t>
  </si>
  <si>
    <t>1.12km</t>
  </si>
  <si>
    <t>和记小菜.u味儿(东方路店)</t>
  </si>
  <si>
    <t>2.06km</t>
  </si>
  <si>
    <t>5.07km</t>
  </si>
  <si>
    <t>浏阳蒸菜(崮山路店)</t>
  </si>
  <si>
    <t>4.79km</t>
  </si>
  <si>
    <t>满33减25，满58减35，满102减45，满158减65</t>
  </si>
  <si>
    <t>ChoppedGreen碎绿沙拉(新大陆店)</t>
  </si>
  <si>
    <t>226m</t>
  </si>
  <si>
    <t>满32减16，满60减18，满80减20</t>
  </si>
  <si>
    <t>12.58km</t>
  </si>
  <si>
    <t>觅姐汤可以喝的麻辣烫(商城路店)</t>
  </si>
  <si>
    <t>913m</t>
  </si>
  <si>
    <t>P&amp;Z</t>
  </si>
  <si>
    <t>脆皮鸡饭</t>
  </si>
  <si>
    <t>701m</t>
  </si>
  <si>
    <t>满17减17，满50减25，满90减30</t>
  </si>
  <si>
    <t>粥宫壹号(浦电路店)</t>
  </si>
  <si>
    <t>2.28km</t>
  </si>
  <si>
    <t>华记桂林米粉(浦电路店)</t>
  </si>
  <si>
    <t>2.08km</t>
  </si>
  <si>
    <t>满26减14，满40减18，满50减22，满80减30，满100减35</t>
  </si>
  <si>
    <t>香锅里辣麻辣香锅</t>
  </si>
  <si>
    <t>4.78km</t>
  </si>
  <si>
    <t>满35减22，满58减25，满80减37，满120减42</t>
  </si>
  <si>
    <t>差一碗鸡汤饭(陆家嘴店)</t>
  </si>
  <si>
    <t>215m</t>
  </si>
  <si>
    <t>配送费¥1.3</t>
  </si>
  <si>
    <t>满20减15，满59减24，满99减35</t>
  </si>
  <si>
    <t>正宗常德牛肉粉(东建路店)</t>
  </si>
  <si>
    <t>4.83km</t>
  </si>
  <si>
    <t>满22减12，满42减17，满60减24，满100减35，满200减60</t>
  </si>
  <si>
    <t>健康夜市大饼油条</t>
  </si>
  <si>
    <t>2.77km</t>
  </si>
  <si>
    <t>满25减10，满30减14，满40减19，满60减24</t>
  </si>
  <si>
    <t>沙野轻食(八佰伴店)</t>
  </si>
  <si>
    <t>595m</t>
  </si>
  <si>
    <t>满30减18，满50减20，满75减23，满90减27，满110减33</t>
  </si>
  <si>
    <t>御膳小厨(浦东店)</t>
  </si>
  <si>
    <t>1.28km</t>
  </si>
  <si>
    <t>满22减17，满30减20，满50减26，满80减30</t>
  </si>
  <si>
    <t>李十八凉皮肉夹馍（崂山路店）</t>
  </si>
  <si>
    <t>满28减13，满49减18，满75减25，满110减30</t>
  </si>
  <si>
    <t>蜀香冒菜(浦电路店)</t>
  </si>
  <si>
    <t>1.98km</t>
  </si>
  <si>
    <t>满36减23，满60减34，满100减48</t>
  </si>
  <si>
    <t>焖饭大师（崂山路店）</t>
  </si>
  <si>
    <t>1.95km</t>
  </si>
  <si>
    <t>满21减20，满45减21，满60减25，满100减30</t>
  </si>
  <si>
    <t>1点点（东昌路店）</t>
  </si>
  <si>
    <t>827m</t>
  </si>
  <si>
    <t>该商户食品安全已由国泰产险承担，食品安全有保障</t>
  </si>
  <si>
    <t>鼎盛肥牛饭</t>
  </si>
  <si>
    <t>1.88km</t>
  </si>
  <si>
    <t>满21减21，满50减25，满90减40</t>
  </si>
  <si>
    <t>妙生活水果生鲜便利店(八佰伴店)</t>
  </si>
  <si>
    <t>788m</t>
  </si>
  <si>
    <t>满49减25，满99减40</t>
  </si>
  <si>
    <t>1.44km</t>
  </si>
  <si>
    <t>王记黄焖鸡米饭（民生店）</t>
  </si>
  <si>
    <t>3.58km</t>
  </si>
  <si>
    <t>满21减14，满60减23，满100减30</t>
  </si>
  <si>
    <t>大小姐的饭（上海陆家嘴店）</t>
  </si>
  <si>
    <t>1.69km</t>
  </si>
  <si>
    <t>配送费¥0.8</t>
  </si>
  <si>
    <t>满28减19，满46减25，满70减38，满130减60</t>
  </si>
  <si>
    <t>小桃园(崂山路店)</t>
  </si>
  <si>
    <t>满25减8，满30减10，满40减13，满60减20，满100减35</t>
  </si>
  <si>
    <t>伊鼎湘常德牛肉粉(浦三路店)</t>
  </si>
  <si>
    <t>5.69km</t>
  </si>
  <si>
    <t>浏阳蒸菜（米岛店）</t>
  </si>
  <si>
    <t>598m</t>
  </si>
  <si>
    <t>满32减22，满50减30，满80减40，满120减60，满180减90</t>
  </si>
  <si>
    <t>小红帽麻辣香锅(八佰伴店)</t>
  </si>
  <si>
    <t>569m</t>
  </si>
  <si>
    <t>满30减23，满50减31，满80减41，满100减49</t>
  </si>
  <si>
    <t>港咀烧腊（昌邑路店）</t>
  </si>
  <si>
    <t>1.65km</t>
  </si>
  <si>
    <t>满15减12，满55减18，满90减28，满130减32，满200减40</t>
  </si>
  <si>
    <t>重庆鸡公煲(潍坊路店)</t>
  </si>
  <si>
    <t>满25减25，满60减32，满98减42</t>
  </si>
  <si>
    <t>沙哇低卡轻食沙拉（新大陆广场店）</t>
  </si>
  <si>
    <t>240m</t>
  </si>
  <si>
    <t>满39减20，满49减25，满59减30，满69减35，满79减40</t>
  </si>
  <si>
    <t>蜀地源冒菜(张扬路店)</t>
  </si>
  <si>
    <t>603m</t>
  </si>
  <si>
    <t>配送费¥6</t>
  </si>
  <si>
    <t>二十五块半(陆家嘴店)</t>
  </si>
  <si>
    <t>1.84km</t>
  </si>
  <si>
    <t>满20减17，满46减22，满77减38，满100减48</t>
  </si>
  <si>
    <t>华莱士炸鸡汉堡(陆家嘴店)</t>
  </si>
  <si>
    <t>358m</t>
  </si>
  <si>
    <t>福荣祥烧腊（八佰伴店）</t>
  </si>
  <si>
    <t>397m</t>
  </si>
  <si>
    <t>零度低卡轻食沙拉(天钥桥路店)</t>
  </si>
  <si>
    <t>2.98km</t>
  </si>
  <si>
    <t>满30减18，满59减25，满89减30</t>
  </si>
  <si>
    <t>觅姐汤可以喝的麻辣烫(斜土路店)</t>
  </si>
  <si>
    <t>三米粥铺(中山西路店)</t>
  </si>
  <si>
    <t>1.72km</t>
  </si>
  <si>
    <t>曼玲粥店(肇嘉浜路店)</t>
  </si>
  <si>
    <t>5.33km</t>
  </si>
  <si>
    <t>丰收日（光大店）</t>
  </si>
  <si>
    <t>2.11km</t>
  </si>
  <si>
    <t>梁小猴铁板炒饭(徐家汇店)</t>
  </si>
  <si>
    <t>满20减19，满45减23，满55减28，满70减40，满110减55</t>
  </si>
  <si>
    <t>米多面多(徐汇店)</t>
  </si>
  <si>
    <t>1.16km</t>
  </si>
  <si>
    <t>满20减12，满55减18，满65减26</t>
  </si>
  <si>
    <t>隐烫麻辣烫(古美路店)</t>
  </si>
  <si>
    <t>4.20km</t>
  </si>
  <si>
    <t>满25减15，满40减21，满60减31</t>
  </si>
  <si>
    <t>峰味香黄焖鸡米饭(徐汇店)</t>
  </si>
  <si>
    <t>满25减24，满58减33，满80减39</t>
  </si>
  <si>
    <t>老鸿兴汤包馆(漕宝路店)</t>
  </si>
  <si>
    <t>满28减8，满48减10，满98减20</t>
  </si>
  <si>
    <t>早安山丘(宛平南路店)</t>
  </si>
  <si>
    <t>3.70km</t>
  </si>
  <si>
    <t>A梦Eamonns(合川店)</t>
  </si>
  <si>
    <t>4.93km</t>
  </si>
  <si>
    <t>隐烫麻辣烫(金汇路店)</t>
  </si>
  <si>
    <t>5.30km</t>
  </si>
  <si>
    <t>满25减16，满40减24，满60减33，满80减45</t>
  </si>
  <si>
    <t>淮南牛肉汤·特色烧饼(凯旋路店)</t>
  </si>
  <si>
    <t>2.74km</t>
  </si>
  <si>
    <t>满25减12，满45减14，满65减18</t>
  </si>
  <si>
    <t>蜀地冒菜（零陵路店）</t>
  </si>
  <si>
    <t>3.55km</t>
  </si>
  <si>
    <t>季师傅菜馆</t>
  </si>
  <si>
    <t>7.58km</t>
  </si>
  <si>
    <t>远距离配送费¥14.3</t>
  </si>
  <si>
    <t>满28减20，满55减25，满85减35，满160减40，满190减50</t>
  </si>
  <si>
    <t>鲜一汤饭(徐家汇店)</t>
  </si>
  <si>
    <t>3.00km</t>
  </si>
  <si>
    <t>远距离配送费¥2.8</t>
  </si>
  <si>
    <t>满20减18，满45减23，满55减28，满75减38，满95减48</t>
  </si>
  <si>
    <t>华莱士炸鸡汉堡(龙华店)</t>
  </si>
  <si>
    <t>3.79km</t>
  </si>
  <si>
    <t>新加坡麻辣烫</t>
  </si>
  <si>
    <t>2.29km</t>
  </si>
  <si>
    <t>满25减14，满37减21，满45减25，满79减31，满119减45</t>
  </si>
  <si>
    <t>九足饭饱(凯旋路店)</t>
  </si>
  <si>
    <t>2.96km</t>
  </si>
  <si>
    <t>远距离配送费¥3.3</t>
  </si>
  <si>
    <t>满25减24，满58减30，满88减45，满118减50</t>
  </si>
  <si>
    <t>海金滋(徐家汇吉刻店)</t>
  </si>
  <si>
    <t>2.87km</t>
  </si>
  <si>
    <t>满25减3，满50减5，满100减10</t>
  </si>
  <si>
    <t>244m</t>
  </si>
  <si>
    <t>韩式炸鸡啤酒（南丹东路店）</t>
  </si>
  <si>
    <t>满30减22，满55减28，满90减42</t>
  </si>
  <si>
    <t>咕咕韩式炸鸡(延安路店)</t>
  </si>
  <si>
    <t>4.16km</t>
  </si>
  <si>
    <t>满38减34，满68减40，满99减43</t>
  </si>
  <si>
    <t>4.57km</t>
  </si>
  <si>
    <t>极味肥牛饭.烤鸡饭.牛排饭(汇联店)</t>
  </si>
  <si>
    <t>3.06km</t>
  </si>
  <si>
    <t>满18减18，满40减20，满60减25，满100减30</t>
  </si>
  <si>
    <t>差一碗鸡汤饭(徐汇店)</t>
  </si>
  <si>
    <t>粥宫壹号(漕宝路店)</t>
  </si>
  <si>
    <t>小蛮椒麻辣烫（漕河泾店）</t>
  </si>
  <si>
    <t>4.34km</t>
  </si>
  <si>
    <t>七小姐的58道菜(中山西路店)</t>
  </si>
  <si>
    <t>1.27km</t>
  </si>
  <si>
    <t>麻香辣语香锅</t>
  </si>
  <si>
    <t>4.47km</t>
  </si>
  <si>
    <t>满28减20，满48减28，满78减39</t>
  </si>
  <si>
    <t>369家常菜馆</t>
  </si>
  <si>
    <t>4.97km</t>
  </si>
  <si>
    <t>满30减21，满58减31，满95减51，满200减91</t>
  </si>
  <si>
    <t>大众麻辣香锅冒菜</t>
  </si>
  <si>
    <t>4.44km</t>
  </si>
  <si>
    <t>满30减21，满50减28，满80减33</t>
  </si>
  <si>
    <t>香香桂林米粉</t>
  </si>
  <si>
    <t>2.80km</t>
  </si>
  <si>
    <t>满25减13，满50减17，满80减25</t>
  </si>
  <si>
    <t>汉堡王(美罗008</t>
  </si>
  <si>
    <t>)</t>
  </si>
  <si>
    <t>渔小塘·一人食烤鱼饭（田尚坊店）</t>
  </si>
  <si>
    <t>191m</t>
  </si>
  <si>
    <t>满24减23，满58减29，满80减39</t>
  </si>
  <si>
    <t>二十五块半（上海漕河泾店）</t>
  </si>
  <si>
    <t>113m</t>
  </si>
  <si>
    <t>满20减19，满46减26，满77减42，满100减52</t>
  </si>
  <si>
    <t>一人一锅锅贴王(宛平南路店)</t>
  </si>
  <si>
    <t>满28减14，满48减16，满65减18，满85减20</t>
  </si>
  <si>
    <t>吮指香炸鸡(中山公园店)</t>
  </si>
  <si>
    <t>5.23km</t>
  </si>
  <si>
    <t>满30减22，满55减30，满95减45，满120减65</t>
  </si>
  <si>
    <t>5.06km</t>
  </si>
  <si>
    <t>一品粥</t>
  </si>
  <si>
    <t>满30减24，满45减29，满70减31</t>
  </si>
  <si>
    <t>觅姐汤可以喝的麻辣烫(延长中路店)</t>
  </si>
  <si>
    <t>三米粥铺(沪太路店)</t>
  </si>
  <si>
    <t>2.90km</t>
  </si>
  <si>
    <t>满25减16，满38减18，满50减20，满75减25</t>
  </si>
  <si>
    <t>夜市王阿姨豆浆油条店(普善路店)</t>
  </si>
  <si>
    <t>满25减8，满30减11，满40减15，满60减20，满80减25</t>
  </si>
  <si>
    <t>A梦Eamonns(共新店)</t>
  </si>
  <si>
    <t>8.44km</t>
  </si>
  <si>
    <t>远距离配送费¥18</t>
  </si>
  <si>
    <t>华莱士炸鸡汉堡(沪太店)</t>
  </si>
  <si>
    <t>4.81km</t>
  </si>
  <si>
    <t>4.48km</t>
  </si>
  <si>
    <t>淮南牛肉汤特色锅贴</t>
  </si>
  <si>
    <t>4.49km</t>
  </si>
  <si>
    <t>满25减20，满40减22，满60减30</t>
  </si>
  <si>
    <t>一品香川湘家常菜</t>
  </si>
  <si>
    <t>满32减23，满60减31，满98减49，满128减55</t>
  </si>
  <si>
    <t>老昌兴苏州汤包馆（高平路店）</t>
  </si>
  <si>
    <t>2.75km</t>
  </si>
  <si>
    <t>满25减10，满50减20，满75减25</t>
  </si>
  <si>
    <t>遇见沙拉轻食(共和新路店)</t>
  </si>
  <si>
    <t>839m</t>
  </si>
  <si>
    <t>满30减21，满60减23，满100减26</t>
  </si>
  <si>
    <t>沙县小吃（长寿路店）</t>
  </si>
  <si>
    <t>6.07km</t>
  </si>
  <si>
    <t>满30减18，满55减25，满95减38</t>
  </si>
  <si>
    <t>苏北土菜馆</t>
  </si>
  <si>
    <t>2.88km</t>
  </si>
  <si>
    <t>满30减22，满60减32，满100减52</t>
  </si>
  <si>
    <t>5.03km</t>
  </si>
  <si>
    <t>嗲来兮夜市大饼油条(共康店)</t>
  </si>
  <si>
    <t>5.58km</t>
  </si>
  <si>
    <t>满27减5，满37减7，满57减10，满87减17，满107减27</t>
  </si>
  <si>
    <t>联华超市</t>
  </si>
  <si>
    <t>3.27km</t>
  </si>
  <si>
    <t>单品折扣</t>
  </si>
  <si>
    <t>8.77km</t>
  </si>
  <si>
    <t>6.87km</t>
  </si>
  <si>
    <t>13.41km</t>
  </si>
  <si>
    <t>和番の丼飯(上大店)</t>
  </si>
  <si>
    <t>8.29km</t>
  </si>
  <si>
    <t>速湘食浏阳蒸菜</t>
  </si>
  <si>
    <t>548m</t>
  </si>
  <si>
    <t>满30减21，满45减23，满60减27，满100减45</t>
  </si>
  <si>
    <t>川香麻辣香锅</t>
  </si>
  <si>
    <t>3.12km</t>
  </si>
  <si>
    <t>满30减24，满59减44，满89减62，满120减67</t>
  </si>
  <si>
    <t>杨国福麻辣烫(灵石路店)</t>
  </si>
  <si>
    <t>564m</t>
  </si>
  <si>
    <t>满25减12，满38减18，满50减24，满80减32</t>
  </si>
  <si>
    <t>鹿角巷(中山北路店)</t>
  </si>
  <si>
    <t>5.17km</t>
  </si>
  <si>
    <t>满8减1，满59减2，满99减3，满159减4，满300减10</t>
  </si>
  <si>
    <t>淮南牛肉汤(阳城路店)</t>
  </si>
  <si>
    <t>2.83km</t>
  </si>
  <si>
    <t>满25减12，满35减14，满55减16</t>
  </si>
  <si>
    <t>湘滋味湘菜馆</t>
  </si>
  <si>
    <t>浏阳蒸菜(江场西路店)</t>
  </si>
  <si>
    <t>2.21km</t>
  </si>
  <si>
    <t>满30减21，满45减23，满65减27，满100减42</t>
  </si>
  <si>
    <t>8.68km</t>
  </si>
  <si>
    <t>4.46km</t>
  </si>
  <si>
    <t>黄焖鸡米饭（沪太路店）</t>
  </si>
  <si>
    <t>3.30km</t>
  </si>
  <si>
    <t>满25减11，满55减16，满75减22</t>
  </si>
  <si>
    <t>赵家小吃</t>
  </si>
  <si>
    <t>5.01km</t>
  </si>
  <si>
    <t>满25减19，满50减23，满80减33</t>
  </si>
  <si>
    <t>彭浦第一炸（延长路）</t>
  </si>
  <si>
    <t>2.15km</t>
  </si>
  <si>
    <t>满25减5，满50减8</t>
  </si>
  <si>
    <t>安徽私房菜</t>
  </si>
  <si>
    <t>满32减25，满68减31，满118减45，满185减50</t>
  </si>
  <si>
    <t>妯娌老鸭粉丝汤：小林锅贴</t>
  </si>
  <si>
    <t>1.60km</t>
  </si>
  <si>
    <t>满25减12，满50减17，满80减22，满100减30</t>
  </si>
  <si>
    <t>川湘小厨</t>
  </si>
  <si>
    <t>3.35km</t>
  </si>
  <si>
    <t>满30减21，满62减31，满100减45，满150减55，满200减65</t>
  </si>
  <si>
    <t>京味斋(月坛店)</t>
  </si>
  <si>
    <t>14.12km</t>
  </si>
  <si>
    <t>远距离配送费¥38</t>
  </si>
  <si>
    <t>满40减20，满60减25，满80减30，满130减47</t>
  </si>
  <si>
    <t>水乡小粥（慈云寺店）</t>
  </si>
  <si>
    <t>3.89km</t>
  </si>
  <si>
    <t>远距离配送费¥2</t>
  </si>
  <si>
    <t>满25减18，满49减23，满79减26</t>
  </si>
  <si>
    <t>绿茶餐厅(北京望京新世界店)</t>
  </si>
  <si>
    <t>12.42km</t>
  </si>
  <si>
    <t>远距离配送费¥32</t>
  </si>
  <si>
    <t>满40减15，满70减28</t>
  </si>
  <si>
    <t>醉爱川湘家常菜</t>
  </si>
  <si>
    <t>远距离配送费¥3.5</t>
  </si>
  <si>
    <t>满30减18，满55减25，满100减40</t>
  </si>
  <si>
    <t>永和大王（北京广渠店BJ028）</t>
  </si>
  <si>
    <t>402m</t>
  </si>
  <si>
    <t>曼玲粥店(建外店)</t>
  </si>
  <si>
    <t>3.05km</t>
  </si>
  <si>
    <t>满25减15，满49减25，满79减28</t>
  </si>
  <si>
    <t>南城香(潘家园店)</t>
  </si>
  <si>
    <t>远距离配送费¥6.5</t>
  </si>
  <si>
    <t>满40减20</t>
  </si>
  <si>
    <t>老饭盒炖肉(呼家楼店)</t>
  </si>
  <si>
    <t>4.32km</t>
  </si>
  <si>
    <t>远距离配送费¥4.5</t>
  </si>
  <si>
    <t>满35减10，满60减18，满100减30</t>
  </si>
  <si>
    <t>焦耳川式快餐（双井店）</t>
  </si>
  <si>
    <t>345m</t>
  </si>
  <si>
    <t>满20减17，满40减23，满75减42，满100减55</t>
  </si>
  <si>
    <t>太太好粥(双井店)</t>
  </si>
  <si>
    <t>81m</t>
  </si>
  <si>
    <t>满25减13，满45减19，满65减25</t>
  </si>
  <si>
    <t>金百万烤鸭(蒲黄榆店)</t>
  </si>
  <si>
    <t>5.85km</t>
  </si>
  <si>
    <t>满30减15，满60减30，满100减50，满150减65</t>
  </si>
  <si>
    <t>南京大牌档(慈云寺远洋店)</t>
  </si>
  <si>
    <t>3.65km</t>
  </si>
  <si>
    <t>水平有限柳州螺蛳粉（五道口店）</t>
  </si>
  <si>
    <t>19.61km</t>
  </si>
  <si>
    <t>远距离配送费¥58</t>
  </si>
  <si>
    <t>满32减8，满45减10，满68减15，满88减20</t>
  </si>
  <si>
    <t>西贝莜面村(双井店)</t>
  </si>
  <si>
    <t>1.63km</t>
  </si>
  <si>
    <t>配送费¥5.5</t>
  </si>
  <si>
    <t>满60减20，满110减30</t>
  </si>
  <si>
    <t>南小馆(SKP新光店)</t>
  </si>
  <si>
    <t>2.40km</t>
  </si>
  <si>
    <t>远距离配送费¥6</t>
  </si>
  <si>
    <t>满35减16，满55减24，满100减40</t>
  </si>
  <si>
    <t>霸蛮牛肉粉(新中关店)</t>
  </si>
  <si>
    <t>19.96km</t>
  </si>
  <si>
    <t>满20减10，满45减14，满80减20</t>
  </si>
  <si>
    <t>榴莲千层盒子</t>
  </si>
  <si>
    <t>8.61km</t>
  </si>
  <si>
    <t>满20减10，满55减25，满70减35，满100减50</t>
  </si>
  <si>
    <t>眉州小吃（朝阳北路店）</t>
  </si>
  <si>
    <t>远距离配送费¥10</t>
  </si>
  <si>
    <t>满60减15，满100减25</t>
  </si>
  <si>
    <t>老婆很芒榴莲千层蛋糕</t>
  </si>
  <si>
    <t>满38减17，满68减32，满118减42，满188减70</t>
  </si>
  <si>
    <t>三米粥铺(双井店)</t>
  </si>
  <si>
    <t>12m</t>
  </si>
  <si>
    <t>配送费¥2.5</t>
  </si>
  <si>
    <t>满25减14，满49减18，满75减23</t>
  </si>
  <si>
    <t>田老师红烧肉(朝阳百子湾店)</t>
  </si>
  <si>
    <t>3.02km</t>
  </si>
  <si>
    <t>满10减5，满40减15，满70减25</t>
  </si>
  <si>
    <t>德克士（劲松店）</t>
  </si>
  <si>
    <t>老饭盒炖肉(十里堡店)</t>
  </si>
  <si>
    <t>5.04km</t>
  </si>
  <si>
    <t>远距离配送费¥4</t>
  </si>
  <si>
    <t>7cake千层榴莲蛋糕</t>
  </si>
  <si>
    <t>4.87km</t>
  </si>
  <si>
    <t>满35减15，满68减30，满118减40，满188减50</t>
  </si>
  <si>
    <t>湘香小厨(合生汇店)</t>
  </si>
  <si>
    <t>50m</t>
  </si>
  <si>
    <t>配送费¥1.5</t>
  </si>
  <si>
    <t>满22减13，满48减19，满75减25，满100减30</t>
  </si>
  <si>
    <t>嘉和一品粥(中关村店)</t>
  </si>
  <si>
    <t>20.92km</t>
  </si>
  <si>
    <t>远距离配送费¥62</t>
  </si>
  <si>
    <t>国庆活动-门店打标装修</t>
  </si>
  <si>
    <t>张姐烤肉拌饭</t>
  </si>
  <si>
    <t>2.18km</t>
  </si>
  <si>
    <t>满20减19，满60减34，满100减47</t>
  </si>
  <si>
    <t>頭壹號大油条(合生汇店)</t>
  </si>
  <si>
    <t>满25减4，满40减8，满60减12</t>
  </si>
  <si>
    <t>美时客快餐</t>
  </si>
  <si>
    <t>1.71km</t>
  </si>
  <si>
    <t>满21减21，满60减32，满100减45</t>
  </si>
  <si>
    <t>汉堡王（首城国际23635）</t>
  </si>
  <si>
    <t>906m</t>
  </si>
  <si>
    <t>BOOM！低脂健康轻食餐(慈云寺店)</t>
  </si>
  <si>
    <t>3.87km</t>
  </si>
  <si>
    <t>远距离配送费¥2.5</t>
  </si>
  <si>
    <t>满21减19，满49减26，满70减35，满99减45</t>
  </si>
  <si>
    <t>三年二班麻辣拌(双井店)</t>
  </si>
  <si>
    <t>1.48km</t>
  </si>
  <si>
    <t>满10减7，满30减11，满41减17，满53减26，满68减35</t>
  </si>
  <si>
    <t>小北鲸饺子(劲松店)</t>
  </si>
  <si>
    <t>满30减12，满45减15，满80减20</t>
  </si>
  <si>
    <t>百味菜谱粥店</t>
  </si>
  <si>
    <t>1.67km</t>
  </si>
  <si>
    <t>满25减17，满40减23，满55减33，满70减44</t>
  </si>
  <si>
    <t>粥粒香（青年路店）</t>
  </si>
  <si>
    <t>6.12km</t>
  </si>
  <si>
    <t>满30减13，满55减22</t>
  </si>
  <si>
    <t>广德黄焖鸡米饭</t>
  </si>
  <si>
    <t>5.63km</t>
  </si>
  <si>
    <t>满23减22，满40减25，满60减34，满80减42，满100减55</t>
  </si>
  <si>
    <t>滇香阁云南过桥米线</t>
  </si>
  <si>
    <t>远距离配送费¥1.5</t>
  </si>
  <si>
    <t>满10减5，满25减13，满35减15，满65减20，满100减25</t>
  </si>
  <si>
    <t>杨铭宇黄焖鸡米饭（大中店）</t>
  </si>
  <si>
    <t>6.38km</t>
  </si>
  <si>
    <t>满20减18，满45减21，满65减25，满100减33</t>
  </si>
  <si>
    <t>好嫂子(牡丹园店)</t>
  </si>
  <si>
    <t>15.75km</t>
  </si>
  <si>
    <t>远距离配送费¥42</t>
  </si>
  <si>
    <t>满40减3，满60减5</t>
  </si>
  <si>
    <t>金手勺东北融合菜</t>
  </si>
  <si>
    <t>3.90km</t>
  </si>
  <si>
    <t>远距离配送费¥5</t>
  </si>
  <si>
    <t>满28减13，满46减16，满78减19，满100减23，满150减32</t>
  </si>
  <si>
    <t>青年餐厅（龙德广场店）</t>
  </si>
  <si>
    <t>22.98km</t>
  </si>
  <si>
    <t>远距离配送费¥70</t>
  </si>
  <si>
    <t>满110减50</t>
  </si>
  <si>
    <t>福记粤菜烧腊饭</t>
  </si>
  <si>
    <t>满25减13，满48减18，满98减35，满220减70</t>
  </si>
  <si>
    <t>驴肉火烧(劲松店)</t>
  </si>
  <si>
    <t>满30减17，满50减25，满90减40</t>
  </si>
  <si>
    <t>初宴金手勺（回龙观店）</t>
  </si>
  <si>
    <t>27.85km</t>
  </si>
  <si>
    <t>远距离配送费¥90</t>
  </si>
  <si>
    <t>满30减14，满58减22，满108减35</t>
  </si>
  <si>
    <t>张亮麻辣烫（武圣路店）</t>
  </si>
  <si>
    <t>2.48km</t>
  </si>
  <si>
    <t>满26减12，满38减15，满58减18，满88减25</t>
  </si>
  <si>
    <t>麦堡王炸鸡汉堡(东大桥店)</t>
  </si>
  <si>
    <t>满30减16，满50减25，满80减35，满100减40</t>
  </si>
  <si>
    <t>米有理由(国贸店)</t>
  </si>
  <si>
    <t>3.13km</t>
  </si>
  <si>
    <t>满5减5，满35减10，满55减15，满85减19</t>
  </si>
  <si>
    <t>匠骨头</t>
  </si>
  <si>
    <t>满20减19，满45减25，满55减30，满100减50</t>
  </si>
  <si>
    <t>惠和祥黄焖鸡米饭~饿配送~</t>
  </si>
  <si>
    <t>910m</t>
  </si>
  <si>
    <t>满20减10，满35减15</t>
  </si>
  <si>
    <t>坛烧八味（连江店）</t>
  </si>
  <si>
    <t>1.07km</t>
  </si>
  <si>
    <t>配送费¥3.1</t>
  </si>
  <si>
    <t>满25减18，满48减23，满58减38，满100减60</t>
  </si>
  <si>
    <t>庄饭碗（日出东方店）</t>
  </si>
  <si>
    <t>1.70km</t>
  </si>
  <si>
    <t>满20减2，满45减5</t>
  </si>
  <si>
    <t>菊兴厦门蠔干粥(连江店)</t>
  </si>
  <si>
    <t>1.09km</t>
  </si>
  <si>
    <t>满23减13，满38减22</t>
  </si>
  <si>
    <t>梦幻冰季</t>
  </si>
  <si>
    <t>满25减10，满40减14</t>
  </si>
  <si>
    <t>鸡排风云(龙华店)</t>
  </si>
  <si>
    <t>满20减12，满30减18</t>
  </si>
  <si>
    <t>梦幻冰季NO.3(龙华店)</t>
  </si>
  <si>
    <t>1.23km</t>
  </si>
  <si>
    <t>清口清汤面（连江店）</t>
  </si>
  <si>
    <t>1.29km</t>
  </si>
  <si>
    <t>满25减10，满40减16</t>
  </si>
  <si>
    <t>1点点(连江万家店)</t>
  </si>
  <si>
    <t>950m</t>
  </si>
  <si>
    <t>马来一号（福州连江店）</t>
  </si>
  <si>
    <t>904m</t>
  </si>
  <si>
    <t>配送费¥0.1</t>
  </si>
  <si>
    <t>满20减10，满34减14，满50减21，满70减24</t>
  </si>
  <si>
    <t>EFCchicken韩式炸鸡</t>
  </si>
  <si>
    <t>1.53km</t>
  </si>
  <si>
    <t>满20减12，满50减25，满99减50</t>
  </si>
  <si>
    <t>一米香（华兴苑店）</t>
  </si>
  <si>
    <t>满20减10，满30减15，满50减22</t>
  </si>
  <si>
    <t>大小姐的饭(连江万家广场店)</t>
  </si>
  <si>
    <t>620m</t>
  </si>
  <si>
    <t>满20减10，满30减16，满40减20，满60减30</t>
  </si>
  <si>
    <t>鸡排风云(北门店)</t>
  </si>
  <si>
    <t>768m</t>
  </si>
  <si>
    <t>德克士（连江店）</t>
  </si>
  <si>
    <t>满35减12，满55减20，满100减40</t>
  </si>
  <si>
    <t>杨国福麻辣烫(龙华店)</t>
  </si>
  <si>
    <t>1.08km</t>
  </si>
  <si>
    <t>满25减5，满45减10</t>
  </si>
  <si>
    <t>我呀便当(连江店)</t>
  </si>
  <si>
    <t>731m</t>
  </si>
  <si>
    <t>满25减12，满35减16，满50减22</t>
  </si>
  <si>
    <t>鱼的错(连江店)</t>
  </si>
  <si>
    <t>1.45km</t>
  </si>
  <si>
    <t>满20减8，满45减12</t>
  </si>
  <si>
    <t>7号便当(连江万家广场店)</t>
  </si>
  <si>
    <t>1.11km</t>
  </si>
  <si>
    <t>满15减12，满36减18，满53减22</t>
  </si>
  <si>
    <t>江南小粥(连江店)</t>
  </si>
  <si>
    <t>1.55km</t>
  </si>
  <si>
    <t>满25减15，满40减22</t>
  </si>
  <si>
    <t>高记泡粉（丹凤店）</t>
  </si>
  <si>
    <t>608m</t>
  </si>
  <si>
    <t>满25减3，满45减5</t>
  </si>
  <si>
    <t>又一家</t>
  </si>
  <si>
    <t>满20减15，满33减18，满55减24，满68减28</t>
  </si>
  <si>
    <t>片片福肉片工匠(连江店)</t>
  </si>
  <si>
    <t>满20减10，满30减15，满55减18</t>
  </si>
  <si>
    <t>蒙自源过桥米线~饿配送~</t>
  </si>
  <si>
    <t>857m</t>
  </si>
  <si>
    <t>满25减10，满50减15</t>
  </si>
  <si>
    <t>华耀壹号煎包(连江店)</t>
  </si>
  <si>
    <t>1.42km</t>
  </si>
  <si>
    <t>满40减1</t>
  </si>
  <si>
    <t>大地之家中式快餐店</t>
  </si>
  <si>
    <t>574m</t>
  </si>
  <si>
    <t>满10减2，满45减5</t>
  </si>
  <si>
    <t>香达克汉堡店</t>
  </si>
  <si>
    <t>满20减3，满25减6，满35减9</t>
  </si>
  <si>
    <t>陈家水饺</t>
  </si>
  <si>
    <t>1.18km</t>
  </si>
  <si>
    <t>满20减6，满40减12</t>
  </si>
  <si>
    <t>鲜辣食客（万家店）</t>
  </si>
  <si>
    <t>896m</t>
  </si>
  <si>
    <t>满20减5，满40减8</t>
  </si>
  <si>
    <t>辣么爱你外卖厨房</t>
  </si>
  <si>
    <t>856m</t>
  </si>
  <si>
    <t>满15减11，满36减16，满46减21，满70减25</t>
  </si>
  <si>
    <t>二十五块半(连江店)</t>
  </si>
  <si>
    <t>677m</t>
  </si>
  <si>
    <t>满20减19，满46减25，满77减39，满100减50</t>
  </si>
  <si>
    <t>多味便当</t>
  </si>
  <si>
    <t>1.24km</t>
  </si>
  <si>
    <t>满20减10，满30减15</t>
  </si>
  <si>
    <t>一扫光零食量贩</t>
  </si>
  <si>
    <t>1.02km</t>
  </si>
  <si>
    <t>满30减1，满40减2，满100减5，满150减7</t>
  </si>
  <si>
    <t>福州麦当劳连江马祖路餐厅</t>
  </si>
  <si>
    <t>满49减9，满79减20</t>
  </si>
  <si>
    <t>翔记重庆小面</t>
  </si>
  <si>
    <t>1.06km</t>
  </si>
  <si>
    <t>满25减8</t>
  </si>
  <si>
    <t>依土捞化</t>
  </si>
  <si>
    <t>474m</t>
  </si>
  <si>
    <t>满20减10，满40减15</t>
  </si>
  <si>
    <t>华莱士（凤城店）</t>
  </si>
  <si>
    <t>配送费¥4.1</t>
  </si>
  <si>
    <t>满30减12，满40减15，满50减20，满70减25，满80减30</t>
  </si>
  <si>
    <t>肚子里有料(连江店)</t>
  </si>
  <si>
    <t>1.35km</t>
  </si>
  <si>
    <t>满36减2，满46减4，满56减6</t>
  </si>
  <si>
    <t>叶猫子章鱼丸子烧(万家店)</t>
  </si>
  <si>
    <t>杨国福麻辣烫（天都店）</t>
  </si>
  <si>
    <t>糯雅芳粥(恒隆店)</t>
  </si>
  <si>
    <t>7.42km</t>
  </si>
  <si>
    <t>远距离配送费¥8.5</t>
  </si>
  <si>
    <t>满27减15，满38减17，满55减23，满80减30</t>
  </si>
  <si>
    <t>大师傅麻辣香锅(中桥店)</t>
  </si>
  <si>
    <t>6.67km</t>
  </si>
  <si>
    <t>满12减11，满38减27，满50减32，满80减52</t>
  </si>
  <si>
    <t>家乐福(无锡宝龙店)</t>
  </si>
  <si>
    <t>218m</t>
  </si>
  <si>
    <t>新用户下单立减15元</t>
  </si>
  <si>
    <t>八大菜</t>
  </si>
  <si>
    <t>满25减10，满40减25，满60减36，满128减60</t>
  </si>
  <si>
    <t>风雷酸辣汤烧烤（家乐福店）</t>
  </si>
  <si>
    <t>6.00km</t>
  </si>
  <si>
    <t>远距离配送费¥9.5</t>
  </si>
  <si>
    <t>满20减10，满40减16，满60减21</t>
  </si>
  <si>
    <t>徽娘小厨</t>
  </si>
  <si>
    <t>7.30km</t>
  </si>
  <si>
    <t>满20减12，满30减16，满55减25</t>
  </si>
  <si>
    <t>二姐粥铺（南长街店）</t>
  </si>
  <si>
    <t>5.53km</t>
  </si>
  <si>
    <t>满28减17，满38减18，满55减25</t>
  </si>
  <si>
    <t>花甲联盟</t>
  </si>
  <si>
    <t>3.59km</t>
  </si>
  <si>
    <t>满15减13，满35减19，满50减26，满60减28</t>
  </si>
  <si>
    <t>壹锅香麻辣香锅烧烤</t>
  </si>
  <si>
    <t>5.92km</t>
  </si>
  <si>
    <t>满35减23，满50减30，满80减42</t>
  </si>
  <si>
    <t>Agan海仙炒饭</t>
  </si>
  <si>
    <t>满25减7，满40减10，满55减13</t>
  </si>
  <si>
    <t>旺角厨房</t>
  </si>
  <si>
    <t>满28减22，满50减34，满80减49，满100减54，满138减63</t>
  </si>
  <si>
    <t>外婆的拿手菜</t>
  </si>
  <si>
    <t>1.36km</t>
  </si>
  <si>
    <t>满8减8，满26减10，满38减15，满58减20，满88减25</t>
  </si>
  <si>
    <t>曼玲粥店(上马墩店)</t>
  </si>
  <si>
    <t>远距离配送费¥8</t>
  </si>
  <si>
    <t>满26减15，满49减17，满79减25</t>
  </si>
  <si>
    <t>辣有道麻辣香锅(香溢紫郡店)</t>
  </si>
  <si>
    <t>4.31km</t>
  </si>
  <si>
    <t>满35减26，满60减38，满78减42</t>
  </si>
  <si>
    <t>CoCo都可（无锡春潮花园店）</t>
  </si>
  <si>
    <t>2.51km</t>
  </si>
  <si>
    <t>新用户下单立减20元</t>
  </si>
  <si>
    <t>二两粮票猪油菜饭</t>
  </si>
  <si>
    <t>7.16km</t>
  </si>
  <si>
    <t>满15减3，满25减10，满35减13，满40减15，满50减20</t>
  </si>
  <si>
    <t>陈记锅贴台式套餐饭(阳光店)</t>
  </si>
  <si>
    <t>6.90km</t>
  </si>
  <si>
    <t>满25减17，满45减27，满70减40</t>
  </si>
  <si>
    <t>卤先生秘制炒卤面(无锡旗舰店)</t>
  </si>
  <si>
    <t>3.21km</t>
  </si>
  <si>
    <t>远距离配送费¥1</t>
  </si>
  <si>
    <t>满20减17，满50减28，满80减34</t>
  </si>
  <si>
    <t>辛汤火麻辣捞烫（荟聚店）</t>
  </si>
  <si>
    <t>7.56km</t>
  </si>
  <si>
    <t>满30减17，满50减25，满70减35</t>
  </si>
  <si>
    <t>永和大王（清南路店FWX001）</t>
  </si>
  <si>
    <t>吾家吴厨</t>
  </si>
  <si>
    <t>6.30km</t>
  </si>
  <si>
    <t>满30减18，满55减27，满85减38</t>
  </si>
  <si>
    <t>Agan海仙炒饭(清扬茂业店)</t>
  </si>
  <si>
    <t>满25减9，满40减12，满55减15</t>
  </si>
  <si>
    <t>鲜芋仙(无锡中山路店)</t>
  </si>
  <si>
    <t>6.73km</t>
  </si>
  <si>
    <t>满30减5，满60减12</t>
  </si>
  <si>
    <t>歪卖厨房</t>
  </si>
  <si>
    <t>6.98km</t>
  </si>
  <si>
    <t>远距离配送费¥7.5</t>
  </si>
  <si>
    <t>满29减15，满40减20，满60减30，满100减42</t>
  </si>
  <si>
    <t>扬州风味木桶饭炒饭</t>
  </si>
  <si>
    <t>3.39km</t>
  </si>
  <si>
    <t>满25减7，满35减10，满45减13</t>
  </si>
  <si>
    <t>香达克汉堡奶茶(东风家园店)</t>
  </si>
  <si>
    <t>满25减14，满45减25，满65减30</t>
  </si>
  <si>
    <t>糊涂生煎（五星家园店）</t>
  </si>
  <si>
    <t>4.21km</t>
  </si>
  <si>
    <t>满25减10，满45减14，满70减18</t>
  </si>
  <si>
    <t>汉堡王（无锡前卫路金轮星光名座店24529）</t>
  </si>
  <si>
    <t>1.89km</t>
  </si>
  <si>
    <t>满35减8，满60减20</t>
  </si>
  <si>
    <t>小郑土菜馆(学前东路店)</t>
  </si>
  <si>
    <t>5.70km</t>
  </si>
  <si>
    <t>满25减10，满35减16，满55减25，满80减30</t>
  </si>
  <si>
    <t>德克士(无锡上马墩店)</t>
  </si>
  <si>
    <t>6.58km</t>
  </si>
  <si>
    <t>满35减15，满60减25</t>
  </si>
  <si>
    <t>食神牛肉饭(无锡一店)</t>
  </si>
  <si>
    <t>满20减20，满70减35，满90减40，满120减60，满200减100</t>
  </si>
  <si>
    <t>黄焖鸡米饭(金科世界城店)</t>
  </si>
  <si>
    <t>5.13km</t>
  </si>
  <si>
    <t>满10减9，满25减11，满35减13，满60减18，满100减26</t>
  </si>
  <si>
    <t>一品轩黄焖鸡米饭(茂业店)</t>
  </si>
  <si>
    <t>满22减10，满30减12，满55减15</t>
  </si>
  <si>
    <t>老妈烫饭(清扬茂业店)</t>
  </si>
  <si>
    <t>5.16km</t>
  </si>
  <si>
    <t>满25减22，满50减25，满70减36，满100减50</t>
  </si>
  <si>
    <t>华莱士(高运路店)</t>
  </si>
  <si>
    <t>4.92km</t>
  </si>
  <si>
    <t>远距离配送费¥5.5</t>
  </si>
  <si>
    <t>满28减18，满40减25，满65减35</t>
  </si>
  <si>
    <t>大娘水饺（无锡新区长江北路欧尚店）</t>
  </si>
  <si>
    <t>满30减8，满45减15，满65减24</t>
  </si>
  <si>
    <t>风雷酸辣汤烧烤(清名桥店)</t>
  </si>
  <si>
    <t>4.37km</t>
  </si>
  <si>
    <t>满20减10，满40减20，满80减30</t>
  </si>
  <si>
    <t>江西特色养生汤吧木桶饭</t>
  </si>
  <si>
    <t>6.10km</t>
  </si>
  <si>
    <t>满22减8，满35减12，满50减16</t>
  </si>
  <si>
    <t>犟骨気排骨饭（无锡店）</t>
  </si>
  <si>
    <t>4.91km</t>
  </si>
  <si>
    <t>满25减22，满43减27，满81减40</t>
  </si>
  <si>
    <t>吞屋丼(名品城店)</t>
  </si>
  <si>
    <t>6.48km</t>
  </si>
  <si>
    <t>满20减11，满39减20，满55减25，满100减45</t>
  </si>
  <si>
    <t>工作狂炒饭·輕食</t>
  </si>
  <si>
    <t>6.78km</t>
  </si>
  <si>
    <t>满30减20，满60减41，满90减62，满120减83</t>
  </si>
  <si>
    <t>创意牛排饭</t>
  </si>
  <si>
    <t>633m</t>
  </si>
  <si>
    <t>配送费¥0.5</t>
  </si>
  <si>
    <t>满20减19，满35减23，满60减40，满80减45</t>
  </si>
  <si>
    <t>辣过瘾麻辣香锅</t>
  </si>
  <si>
    <t>3.31km</t>
  </si>
  <si>
    <t>满36减22，满65减35，满99减48</t>
  </si>
  <si>
    <t>小厨工坊(昆明威远街店)</t>
  </si>
  <si>
    <t>3.26km</t>
  </si>
  <si>
    <t>满10减8，满38减15，满68减25，满100减30</t>
  </si>
  <si>
    <t>满朝佰家粥铺</t>
  </si>
  <si>
    <t>1.10km</t>
  </si>
  <si>
    <t>满25减16，满35减18，满50减24，满70减30，满100减40</t>
  </si>
  <si>
    <t>小龙坎原味火锅冒菜(昆明店)</t>
  </si>
  <si>
    <t>3.57km</t>
  </si>
  <si>
    <t>远距离配送费¥1.88</t>
  </si>
  <si>
    <t>满30减15，满68减20，满108减25，满158减30，满199减35</t>
  </si>
  <si>
    <t>菌子米线（昆明第一店）</t>
  </si>
  <si>
    <t>6.13km</t>
  </si>
  <si>
    <t>满20减19，满30减26</t>
  </si>
  <si>
    <t>创意小厨(交三桥店)</t>
  </si>
  <si>
    <t>满20减18，满30减26</t>
  </si>
  <si>
    <t>功夫牛排饭（人民中路店）</t>
  </si>
  <si>
    <t>4.39km</t>
  </si>
  <si>
    <t>满25减21，满60减30</t>
  </si>
  <si>
    <t>华莱士(交三桥店)</t>
  </si>
  <si>
    <t>4.73km</t>
  </si>
  <si>
    <t>满20减18，满30减28，满55减39，满85减51，满120减66</t>
  </si>
  <si>
    <t>专业砂锅饭</t>
  </si>
  <si>
    <t>5.19km</t>
  </si>
  <si>
    <t>满24减22，满30减26</t>
  </si>
  <si>
    <t>港堡汉堡·炸鸡(宝善店)</t>
  </si>
  <si>
    <t>远距离配送费¥0.5</t>
  </si>
  <si>
    <t>满30减23，满50减28，满85减45，满110减50</t>
  </si>
  <si>
    <t>有一家烤肉饭（南亚店）</t>
  </si>
  <si>
    <t>4.89km</t>
  </si>
  <si>
    <t>满15减10，满25减12，满35减15，满60减25，满200减80</t>
  </si>
  <si>
    <t>稻童小鲜粥(万宏国际店)</t>
  </si>
  <si>
    <t>5.12km</t>
  </si>
  <si>
    <t>远距离配送费¥3</t>
  </si>
  <si>
    <t>满10减3，满26减12，满35减16，满50减23</t>
  </si>
  <si>
    <t>八道粥铺(东华店)</t>
  </si>
  <si>
    <t>满20减16，满40减24</t>
  </si>
  <si>
    <t>饭小妹拌饭便当(昆明祥云店)</t>
  </si>
  <si>
    <t>满20减14，满50减28，满100减56</t>
  </si>
  <si>
    <t>德克士(昆明新迎店)</t>
  </si>
  <si>
    <t>3.67km</t>
  </si>
  <si>
    <t>远距离配送费¥4.38</t>
  </si>
  <si>
    <t>满30减5，满45减10，满60减20</t>
  </si>
  <si>
    <t>周大虾龙虾盖饭(万发店)</t>
  </si>
  <si>
    <t>5.08km</t>
  </si>
  <si>
    <t>满10减4，满28减10，满56减15</t>
  </si>
  <si>
    <t>囍鱼谣酸菜鱼by麻饭(万宏国际店)</t>
  </si>
  <si>
    <t>满25减12，满35减15，满50减21</t>
  </si>
  <si>
    <t>宫煲仔黄焖鸡米饭</t>
  </si>
  <si>
    <t>2.13km</t>
  </si>
  <si>
    <t>配送费¥3.5</t>
  </si>
  <si>
    <t>满20减12，满35减16</t>
  </si>
  <si>
    <t>正宗港式烧腊饭</t>
  </si>
  <si>
    <t>满10减9，满20减12，满30减15，满100减30</t>
  </si>
  <si>
    <t>日食记老昆明砂锅饭(吴井路店)</t>
  </si>
  <si>
    <t>64m</t>
  </si>
  <si>
    <t>满20减5，满30减8，满50减13，满80减18，满100减25</t>
  </si>
  <si>
    <t>彭德楷黄焖鸡（明通路店）</t>
  </si>
  <si>
    <t>满20减4，满33减6，满55减9，满70减13，满120减20</t>
  </si>
  <si>
    <t>我家厨房(昆明走廊店)</t>
  </si>
  <si>
    <t>满21减15，满32减20，满48减28，满68减34，满108减62</t>
  </si>
  <si>
    <t>一米阳光</t>
  </si>
  <si>
    <t>3.25km</t>
  </si>
  <si>
    <t>满20减6，满30减9，满50减12</t>
  </si>
  <si>
    <t>大小姐的饭（昆明华东店）</t>
  </si>
  <si>
    <t>3.74km</t>
  </si>
  <si>
    <t>满26减21，满40减26，满70减38，满130减50</t>
  </si>
  <si>
    <t>七菜云篮（凉亭店）</t>
  </si>
  <si>
    <t>4.23km</t>
  </si>
  <si>
    <t>满29减8，满49减13</t>
  </si>
  <si>
    <t>粥员外(春城路店)</t>
  </si>
  <si>
    <t>20m</t>
  </si>
  <si>
    <t>满25减16，满32减19，满40减25</t>
  </si>
  <si>
    <t>钱记小吃</t>
  </si>
  <si>
    <t>满20减10，满38减15，满58减21，满78减28，满98减36</t>
  </si>
  <si>
    <t>蒙自香过桥米线（青年路店）</t>
  </si>
  <si>
    <t>2.61km</t>
  </si>
  <si>
    <t>满20减17，满30减25</t>
  </si>
  <si>
    <t>巨饿便当(万发店)</t>
  </si>
  <si>
    <t>满20减11，满26减17，满48减23，满65减34</t>
  </si>
  <si>
    <t>成都家常菜馆</t>
  </si>
  <si>
    <t>3.32km</t>
  </si>
  <si>
    <t>满25减5，满35减8，满65减12，满88减16，满128减20</t>
  </si>
  <si>
    <t>佳味达餐馆</t>
  </si>
  <si>
    <t>285m</t>
  </si>
  <si>
    <t>满20减12，满30减18，满50减25，满70减30，满150减50</t>
  </si>
  <si>
    <t>饭先生就是这份饭(昆明总店)</t>
  </si>
  <si>
    <t>3.54km</t>
  </si>
  <si>
    <t>王手艺火锅冒菜</t>
  </si>
  <si>
    <t>676m</t>
  </si>
  <si>
    <t>满20减7，满30减10，满50减15，满70减20，满100减30</t>
  </si>
  <si>
    <t>粥一粥二(大商汇店)</t>
  </si>
  <si>
    <t>5.22km</t>
  </si>
  <si>
    <t>满25减12，满33减16，满50减22，满79减26</t>
  </si>
  <si>
    <t>彭德楷黄焖鸡米饭(南屏街店)</t>
  </si>
  <si>
    <t>2.59km</t>
  </si>
  <si>
    <t>满20减8，满30减10，满50减12，满80减15，满100减20</t>
  </si>
  <si>
    <t>唛嘻哒石锅拌饭（白塔路店）</t>
  </si>
  <si>
    <t>2.67km</t>
  </si>
  <si>
    <t>满6减6，满30减15，满50减25</t>
  </si>
  <si>
    <t>饵丝说(人民东路店)</t>
  </si>
  <si>
    <t>3.14km</t>
  </si>
  <si>
    <t>满25减5，满35减8</t>
  </si>
  <si>
    <t>小妹子湖南湘菜馆</t>
  </si>
  <si>
    <t>778m</t>
  </si>
  <si>
    <t>满20减13，满50减20，满80减25，满130减40</t>
  </si>
  <si>
    <t>尚品风味牛排饭</t>
  </si>
  <si>
    <t>3.68km</t>
  </si>
  <si>
    <t>满25减21，满49减28</t>
  </si>
  <si>
    <t>今今有味(商城店)</t>
  </si>
  <si>
    <t>满18减7，满30减12，满50减20</t>
  </si>
  <si>
    <t>蒸小碗</t>
  </si>
  <si>
    <t>满20减10，满40减18</t>
  </si>
  <si>
    <t>泰熙家（金凤店）</t>
  </si>
  <si>
    <t>满20减16，满45减21</t>
  </si>
  <si>
    <t>润宇时汉堡(北京路店)</t>
  </si>
  <si>
    <t>2.56km</t>
  </si>
  <si>
    <t>满20减13，满40减25，满80减45</t>
  </si>
  <si>
    <t>意大利风味牛排饭咖喱饭</t>
  </si>
  <si>
    <t>满20减18，满40减23，满50减34，满80减50</t>
  </si>
  <si>
    <t>清真福荣春黄焖鸡米饭(永康巷店)</t>
  </si>
  <si>
    <t>满21减16，满38减21，满70减26</t>
  </si>
  <si>
    <t>福荣春黄焖鸡米饭(总店)</t>
  </si>
  <si>
    <t>2.31km</t>
  </si>
  <si>
    <t>满21减15，满38减21，满70减27</t>
  </si>
  <si>
    <t>老喇兰州牛肉面</t>
  </si>
  <si>
    <t>2.05km</t>
  </si>
  <si>
    <t>满8减6，满30减10，满60减15</t>
  </si>
  <si>
    <t>云南大理寺过桥米线(海宝店)</t>
  </si>
  <si>
    <t>3.09km</t>
  </si>
  <si>
    <t>满20减11，满30减15，满40减18，满60减21，满70减25</t>
  </si>
  <si>
    <t>香香脆皮鸡排饭</t>
  </si>
  <si>
    <t>3.93km</t>
  </si>
  <si>
    <t>满20减20，满45减30</t>
  </si>
  <si>
    <t>三米粥铺（兴庆区店）</t>
  </si>
  <si>
    <t>满25减16，满49减24，满75减28</t>
  </si>
  <si>
    <t>九沅气小碗菜</t>
  </si>
  <si>
    <t>2.43km</t>
  </si>
  <si>
    <t>满10减10，满25减12，满35减14，满45减16</t>
  </si>
  <si>
    <t>客来香汉餐</t>
  </si>
  <si>
    <t>3.44km</t>
  </si>
  <si>
    <t>满30减20，满50减30</t>
  </si>
  <si>
    <t>大武口四哥凉皮麻辣烫</t>
  </si>
  <si>
    <t>满25减7，满35减10，满45减13，满50减15，满100减23</t>
  </si>
  <si>
    <t>大妈饺子馆</t>
  </si>
  <si>
    <t>522m</t>
  </si>
  <si>
    <t>新用户下单立减13元</t>
  </si>
  <si>
    <t>福荣春黄焖鸡米饭(金凤店)</t>
  </si>
  <si>
    <t>满10减10，满21减12，满38减17，满70减20</t>
  </si>
  <si>
    <t>清真饭咖私厨便当饮品</t>
  </si>
  <si>
    <t>1.30km</t>
  </si>
  <si>
    <t>满25减20，满45减30</t>
  </si>
  <si>
    <t>仙鹤楼</t>
  </si>
  <si>
    <t>满18减3，满27减6，满48减10</t>
  </si>
  <si>
    <t>筷客食尚焖面快餐</t>
  </si>
  <si>
    <t>1.46km</t>
  </si>
  <si>
    <t>满20减17，满40减23，满80减36</t>
  </si>
  <si>
    <t>睿健卡路里轻食健康餐(宁夏银川店)</t>
  </si>
  <si>
    <t>176m</t>
  </si>
  <si>
    <t>满22减6，满35减9，满50减12</t>
  </si>
  <si>
    <t>泰熙家紫菜包饭&amp;烤肉拌饭&amp;地锅鸡</t>
  </si>
  <si>
    <t>1.15km</t>
  </si>
  <si>
    <t>满10减9，满20减12，满30减15</t>
  </si>
  <si>
    <t>白宫海鲜楼(新华街店)</t>
  </si>
  <si>
    <t>693m</t>
  </si>
  <si>
    <t>大冒鲜极致麻辣烫(回餐店)</t>
  </si>
  <si>
    <t>满28减20，满58减30</t>
  </si>
  <si>
    <t>爱上啵啵鱼饭(宝丰路店)</t>
  </si>
  <si>
    <t>满18减12，满50减20</t>
  </si>
  <si>
    <t>焖哥卖个萌焖饭</t>
  </si>
  <si>
    <t>2.58km</t>
  </si>
  <si>
    <t>满20减15，满40减19，满50减22</t>
  </si>
  <si>
    <t>宋记一品粥铺</t>
  </si>
  <si>
    <t>1.91km</t>
  </si>
  <si>
    <t>满25减25，满40减33</t>
  </si>
  <si>
    <t>吴妈厨房(宗睦巷店)</t>
  </si>
  <si>
    <t>1.56km</t>
  </si>
  <si>
    <t>满25减20，满40减25</t>
  </si>
  <si>
    <t>一品妙卤</t>
  </si>
  <si>
    <t>916m</t>
  </si>
  <si>
    <t>满20减20，满40减30</t>
  </si>
  <si>
    <t>味道山城重庆小面-川香盖浇</t>
  </si>
  <si>
    <t>382m</t>
  </si>
  <si>
    <t>满28减18，满58减28，满88减38</t>
  </si>
  <si>
    <t>米多面多(治平路店)</t>
  </si>
  <si>
    <t>3.83km</t>
  </si>
  <si>
    <t>远距离配送费¥2.38</t>
  </si>
  <si>
    <t>满20减12，满45减20，满65减25</t>
  </si>
  <si>
    <t>小碗菜(玉皇阁北街店)</t>
  </si>
  <si>
    <t>776m</t>
  </si>
  <si>
    <t>满20减20，满30减25，满40减30，满50减35，满60减40</t>
  </si>
  <si>
    <t>食尚记</t>
  </si>
  <si>
    <t>758m</t>
  </si>
  <si>
    <t>满20减8，满50减10</t>
  </si>
  <si>
    <t>意大利风味牛排饭宝湖店</t>
  </si>
  <si>
    <t>满20减15，满40减20，满50减31，满80减42</t>
  </si>
  <si>
    <t>清真蛋蛋铁板炒饭</t>
  </si>
  <si>
    <t>579m</t>
  </si>
  <si>
    <t>满20减20</t>
  </si>
  <si>
    <t>熊猫疯了(袁老四新华街店)</t>
  </si>
  <si>
    <t>178m</t>
  </si>
  <si>
    <t>满20减10，满35减20，满70减36</t>
  </si>
  <si>
    <t>云南过桥米线国芳店</t>
  </si>
  <si>
    <t>821m</t>
  </si>
  <si>
    <t>满20减20，满48减28，满78减38</t>
  </si>
  <si>
    <t>清真春春回乡煲仔店</t>
  </si>
  <si>
    <t>563m</t>
  </si>
  <si>
    <t>满20减2，满30减3，满50减5</t>
  </si>
  <si>
    <t>哆哆基汉堡炸鸡(南园店)</t>
  </si>
  <si>
    <t>1.78km</t>
  </si>
  <si>
    <t>满20减6，满35减15，满49减20，满78减25</t>
  </si>
  <si>
    <t>巴辣辣新派火锅菜</t>
  </si>
  <si>
    <t>3.99km</t>
  </si>
  <si>
    <t>满25减10，满65减17，满85减22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</si>
</sst>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Microsoft YaHei UI"/>
      <family val="2"/>
      <charset val="134"/>
    </font>
    <font>
      <sz val="11"/>
      <color indexed="8"/>
      <name val="等线"/>
      <family val="2"/>
      <scheme val="minor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1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5" fillId="0" borderId="0"/>
    <xf numFmtId="0" fontId="6" fillId="0" borderId="0" applyNumberFormat="0" applyFill="0" applyBorder="0" applyAlignment="0" applyProtection="0"/>
  </cellStyleXfs>
  <cellXfs count="12">
    <xf numFmtId="0" fontId="0" fillId="0" borderId="0" xfId="0"/>
    <xf numFmtId="0" fontId="3" fillId="0" borderId="0" xfId="0" applyFont="1" applyFill="1"/>
    <xf numFmtId="2" fontId="0" fillId="0" borderId="0" xfId="0" applyNumberFormat="1"/>
    <xf numFmtId="0" fontId="0" fillId="0" borderId="0" xfId="0" applyBorder="1"/>
    <xf numFmtId="9" fontId="0" fillId="0" borderId="0" xfId="1" applyFont="1" applyAlignment="1"/>
    <xf numFmtId="0" fontId="0" fillId="0" borderId="0" xfId="0" applyAlignment="1">
      <alignment horizontal="left"/>
    </xf>
    <xf numFmtId="0" fontId="0" fillId="0" borderId="1" xfId="0" applyBorder="1"/>
    <xf numFmtId="0" fontId="7" fillId="0" borderId="0" xfId="4" applyFont="1"/>
    <xf numFmtId="0" fontId="7" fillId="0" borderId="0" xfId="4" applyFont="1" applyBorder="1"/>
    <xf numFmtId="0" fontId="7" fillId="0" borderId="0" xfId="0" applyFont="1"/>
    <xf numFmtId="0" fontId="7" fillId="0" borderId="1" xfId="4" applyFont="1" applyBorder="1"/>
    <xf numFmtId="0" fontId="0" fillId="0" borderId="0" xfId="0" applyBorder="1" applyAlignment="1">
      <alignment horizontal="left"/>
    </xf>
  </cellXfs>
  <cellStyles count="5">
    <cellStyle name="百分比" xfId="1" builtinId="5"/>
    <cellStyle name="常规" xfId="0" builtinId="0"/>
    <cellStyle name="常规 2" xfId="2" xr:uid="{00000000-0005-0000-0000-00002F000000}"/>
    <cellStyle name="常规 3" xfId="3" xr:uid="{00000000-0005-0000-0000-000030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8EE8-B847-4520-A019-0E799BD65C4D}">
  <sheetPr>
    <tabColor theme="0" tint="-0.499984740745262"/>
  </sheetPr>
  <dimension ref="A1:B17"/>
  <sheetViews>
    <sheetView zoomScaleNormal="100" workbookViewId="0">
      <selection activeCell="B16" sqref="B16"/>
    </sheetView>
  </sheetViews>
  <sheetFormatPr defaultRowHeight="14.25" x14ac:dyDescent="0.2"/>
  <cols>
    <col min="2" max="2" width="15.125" style="9" bestFit="1" customWidth="1"/>
  </cols>
  <sheetData>
    <row r="1" spans="1:2" x14ac:dyDescent="0.2">
      <c r="A1" t="s">
        <v>148</v>
      </c>
      <c r="B1" s="9" t="s">
        <v>149</v>
      </c>
    </row>
    <row r="2" spans="1:2" x14ac:dyDescent="0.2">
      <c r="A2" t="s">
        <v>150</v>
      </c>
      <c r="B2" s="7" t="str">
        <f>HYPERLINK(INDEX(获取工作表名,MATCH("[5.店铺周边情况.xlsm]No.0001",获取工作表名,0))&amp;"!A1","金沙江路店")</f>
        <v>金沙江路店</v>
      </c>
    </row>
    <row r="3" spans="1:2" x14ac:dyDescent="0.2">
      <c r="A3" t="s">
        <v>151</v>
      </c>
      <c r="B3" s="8" t="str">
        <f>HYPERLINK(INDEX(获取工作表名,MATCH("[5.店铺周边情况.xlsm]No.0002",获取工作表名,0))&amp;"!A1","亚龙广场店")</f>
        <v>亚龙广场店</v>
      </c>
    </row>
    <row r="4" spans="1:2" x14ac:dyDescent="0.2">
      <c r="A4" t="s">
        <v>152</v>
      </c>
      <c r="B4" s="7" t="str">
        <f>HYPERLINK(INDEX(获取工作表名,MATCH("[5.店铺周边情况.xlsm]No.0003",获取工作表名,0))&amp;"!A1","五角场店")</f>
        <v>五角场店</v>
      </c>
    </row>
    <row r="5" spans="1:2" x14ac:dyDescent="0.2">
      <c r="A5" t="s">
        <v>153</v>
      </c>
      <c r="B5" s="7" t="str">
        <f>HYPERLINK(INDEX(获取工作表名,MATCH("[5.店铺周边情况.xlsm]No.0004",获取工作表名,0))&amp;"!A1","紫薇路店")</f>
        <v>紫薇路店</v>
      </c>
    </row>
    <row r="6" spans="1:2" x14ac:dyDescent="0.2">
      <c r="A6" t="s">
        <v>154</v>
      </c>
      <c r="B6" s="7" t="str">
        <f>HYPERLINK(INDEX(获取工作表名,MATCH("[5.店铺周边情况.xlsm]No.0005",获取工作表名,0))&amp;"!A1","浦东八佰伴店")</f>
        <v>浦东八佰伴店</v>
      </c>
    </row>
    <row r="7" spans="1:2" x14ac:dyDescent="0.2">
      <c r="A7" t="s">
        <v>155</v>
      </c>
      <c r="B7" s="7" t="str">
        <f>HYPERLINK(INDEX(获取工作表名,MATCH("[5.店铺周边情况.xlsm]No.0006",获取工作表名,0))&amp;"!A1","钦州北路店")</f>
        <v>钦州北路店</v>
      </c>
    </row>
    <row r="8" spans="1:2" x14ac:dyDescent="0.2">
      <c r="A8" t="s">
        <v>156</v>
      </c>
      <c r="B8" s="7" t="str">
        <f>HYPERLINK(INDEX(获取工作表名,MATCH("[5.店铺周边情况.xlsm]No.0007",获取工作表名,0))&amp;"!A1","四川北路店")</f>
        <v>四川北路店</v>
      </c>
    </row>
    <row r="9" spans="1:2" x14ac:dyDescent="0.2">
      <c r="A9" t="s">
        <v>157</v>
      </c>
      <c r="B9" s="7" t="str">
        <f>HYPERLINK(INDEX(获取工作表名,MATCH("[5.店铺周边情况.xlsm]No.0008",获取工作表名,0))&amp;"!A1","大宁店")</f>
        <v>大宁店</v>
      </c>
    </row>
    <row r="10" spans="1:2" x14ac:dyDescent="0.2">
      <c r="A10" t="s">
        <v>158</v>
      </c>
      <c r="B10" s="7" t="str">
        <f>HYPERLINK(INDEX(获取工作表名,MATCH("[5.店铺周边情况.xlsm]No.0009",获取工作表名,0))&amp;"!A1","江宁路店")</f>
        <v>江宁路店</v>
      </c>
    </row>
    <row r="11" spans="1:2" x14ac:dyDescent="0.2">
      <c r="A11" t="s">
        <v>159</v>
      </c>
      <c r="B11" s="7" t="str">
        <f>HYPERLINK(INDEX(获取工作表名,MATCH("[5.店铺周边情况.xlsm]No.0101",获取工作表名,0))&amp;"!A1","北京朝阳店")</f>
        <v>北京朝阳店</v>
      </c>
    </row>
    <row r="12" spans="1:2" x14ac:dyDescent="0.2">
      <c r="A12" t="s">
        <v>160</v>
      </c>
      <c r="B12" s="7" t="str">
        <f>HYPERLINK(INDEX(获取工作表名,MATCH("[5.店铺周边情况.xlsm]No.1101",获取工作表名,0))&amp;"!A1","江西上饶店")</f>
        <v>江西上饶店</v>
      </c>
    </row>
    <row r="13" spans="1:2" x14ac:dyDescent="0.2">
      <c r="A13" t="s">
        <v>161</v>
      </c>
      <c r="B13" s="7" t="str">
        <f>HYPERLINK(INDEX(获取工作表名,MATCH("[5.店铺周边情况.xlsm]No.1102",获取工作表名,0))&amp;"!A1","江西南昌财大店")</f>
        <v>江西南昌财大店</v>
      </c>
    </row>
    <row r="14" spans="1:2" x14ac:dyDescent="0.2">
      <c r="A14" t="s">
        <v>162</v>
      </c>
      <c r="B14" s="7" t="str">
        <f>HYPERLINK(INDEX(获取工作表名,MATCH("[5.店铺周边情况.xlsm]No.1201",获取工作表名,0))&amp;"!A1","无锡宝龙店")</f>
        <v>无锡宝龙店</v>
      </c>
    </row>
    <row r="15" spans="1:2" x14ac:dyDescent="0.2">
      <c r="A15" t="s">
        <v>163</v>
      </c>
      <c r="B15" s="7" t="str">
        <f>HYPERLINK(INDEX(获取工作表名,MATCH("[5.店铺周边情况.xlsm]No.1501",获取工作表名,0))&amp;"!A1","福建连江店")</f>
        <v>福建连江店</v>
      </c>
    </row>
    <row r="16" spans="1:2" x14ac:dyDescent="0.2">
      <c r="A16" t="s">
        <v>164</v>
      </c>
      <c r="B16" s="7" t="str">
        <f>HYPERLINK(INDEX(获取工作表名,MATCH("[5.店铺周边情况.xlsm]No.6101",获取工作表名,0))&amp;"!A1","云南昆明店")</f>
        <v>云南昆明店</v>
      </c>
    </row>
    <row r="17" spans="1:2" x14ac:dyDescent="0.2">
      <c r="A17" t="s">
        <v>165</v>
      </c>
      <c r="B17" s="7" t="str">
        <f>HYPERLINK(INDEX(获取工作表名,MATCH("[5.店铺周边情况.xlsm]No.7101",获取工作表名,0))&amp;"!A1","宁夏银川店")</f>
        <v>宁夏银川店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9862-7F06-4863-9EDB-E37EFC756A9C}">
  <sheetPr codeName="Sheet2">
    <tabColor rgb="FF00B0F0"/>
  </sheetPr>
  <dimension ref="A1:AA320"/>
  <sheetViews>
    <sheetView topLeftCell="A307" zoomScaleNormal="100" workbookViewId="0">
      <selection activeCell="C14" sqref="C14"/>
    </sheetView>
  </sheetViews>
  <sheetFormatPr defaultRowHeight="14.25" x14ac:dyDescent="0.2"/>
  <cols>
    <col min="1" max="1" width="11" bestFit="1" customWidth="1"/>
    <col min="2" max="2" width="20.625" style="5" customWidth="1"/>
    <col min="3" max="21" width="8.625" customWidth="1"/>
    <col min="22" max="22" width="7.125" bestFit="1" customWidth="1"/>
    <col min="23" max="23" width="5.25" bestFit="1" customWidth="1"/>
    <col min="24" max="24" width="5.375" bestFit="1" customWidth="1"/>
    <col min="25" max="25" width="5.875" bestFit="1" customWidth="1"/>
    <col min="26" max="27" width="5.25" bestFit="1" customWidth="1"/>
  </cols>
  <sheetData>
    <row r="1" spans="1:2" ht="15" thickBot="1" x14ac:dyDescent="0.25">
      <c r="A1" s="6" t="str">
        <f>HYPERLINK(INDEX(获取工作表名,1)&amp;"!A"&amp;MATCH("金沙江路店",汇总!B:B,0),"金沙江路店")</f>
        <v>金沙江路店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2</v>
      </c>
    </row>
    <row r="4" spans="1:2" x14ac:dyDescent="0.2">
      <c r="A4" t="s">
        <v>3</v>
      </c>
      <c r="B4" s="5">
        <v>16924</v>
      </c>
    </row>
    <row r="5" spans="1:2" x14ac:dyDescent="0.2">
      <c r="A5" t="s">
        <v>4</v>
      </c>
      <c r="B5" s="5">
        <v>4.4000000000000004</v>
      </c>
    </row>
    <row r="6" spans="1:2" x14ac:dyDescent="0.2">
      <c r="A6" t="s">
        <v>5</v>
      </c>
      <c r="B6" s="5" t="s">
        <v>6</v>
      </c>
    </row>
    <row r="7" spans="1:2" x14ac:dyDescent="0.2">
      <c r="A7" t="s">
        <v>7</v>
      </c>
      <c r="B7" s="5" t="s">
        <v>8</v>
      </c>
    </row>
    <row r="8" spans="1:2" x14ac:dyDescent="0.2">
      <c r="A8" t="s">
        <v>9</v>
      </c>
      <c r="B8" s="5" t="s">
        <v>10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11</v>
      </c>
    </row>
    <row r="12" spans="1:2" x14ac:dyDescent="0.2">
      <c r="A12" t="s">
        <v>3</v>
      </c>
      <c r="B12" s="5">
        <v>12384</v>
      </c>
    </row>
    <row r="13" spans="1:2" x14ac:dyDescent="0.2">
      <c r="A13" t="s">
        <v>4</v>
      </c>
      <c r="B13" s="5">
        <v>4.8</v>
      </c>
    </row>
    <row r="14" spans="1:2" x14ac:dyDescent="0.2">
      <c r="A14" t="s">
        <v>5</v>
      </c>
      <c r="B14" s="5" t="s">
        <v>12</v>
      </c>
    </row>
    <row r="15" spans="1:2" x14ac:dyDescent="0.2">
      <c r="A15" t="s">
        <v>7</v>
      </c>
      <c r="B15" s="5" t="s">
        <v>13</v>
      </c>
    </row>
    <row r="16" spans="1:2" x14ac:dyDescent="0.2">
      <c r="A16" t="s">
        <v>9</v>
      </c>
      <c r="B16" s="5" t="s">
        <v>14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15</v>
      </c>
    </row>
    <row r="20" spans="1:2" x14ac:dyDescent="0.2">
      <c r="A20" t="s">
        <v>3</v>
      </c>
      <c r="B20" s="5">
        <v>10950</v>
      </c>
    </row>
    <row r="21" spans="1:2" x14ac:dyDescent="0.2">
      <c r="A21" t="s">
        <v>4</v>
      </c>
      <c r="B21" s="5">
        <v>4.8</v>
      </c>
    </row>
    <row r="22" spans="1:2" x14ac:dyDescent="0.2">
      <c r="A22" t="s">
        <v>5</v>
      </c>
      <c r="B22" s="5" t="s">
        <v>16</v>
      </c>
    </row>
    <row r="23" spans="1:2" x14ac:dyDescent="0.2">
      <c r="A23" t="s">
        <v>7</v>
      </c>
      <c r="B23" s="5" t="s">
        <v>17</v>
      </c>
    </row>
    <row r="24" spans="1:2" x14ac:dyDescent="0.2">
      <c r="A24" t="s">
        <v>9</v>
      </c>
      <c r="B24" s="5" t="s">
        <v>18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19</v>
      </c>
    </row>
    <row r="28" spans="1:2" x14ac:dyDescent="0.2">
      <c r="A28" t="s">
        <v>3</v>
      </c>
      <c r="B28" s="5">
        <v>10946</v>
      </c>
    </row>
    <row r="29" spans="1:2" x14ac:dyDescent="0.2">
      <c r="A29" t="s">
        <v>4</v>
      </c>
      <c r="B29" s="5">
        <v>4.8</v>
      </c>
    </row>
    <row r="30" spans="1:2" x14ac:dyDescent="0.2">
      <c r="A30" t="s">
        <v>5</v>
      </c>
      <c r="B30" s="5" t="s">
        <v>20</v>
      </c>
    </row>
    <row r="31" spans="1:2" x14ac:dyDescent="0.2">
      <c r="A31" t="s">
        <v>7</v>
      </c>
      <c r="B31" s="5" t="s">
        <v>21</v>
      </c>
    </row>
    <row r="32" spans="1:2" x14ac:dyDescent="0.2">
      <c r="A32" t="s">
        <v>9</v>
      </c>
      <c r="B32" s="5" t="s">
        <v>22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23</v>
      </c>
    </row>
    <row r="36" spans="1:2" x14ac:dyDescent="0.2">
      <c r="A36" t="s">
        <v>3</v>
      </c>
      <c r="B36" s="5">
        <v>10146</v>
      </c>
    </row>
    <row r="37" spans="1:2" x14ac:dyDescent="0.2">
      <c r="A37" t="s">
        <v>4</v>
      </c>
      <c r="B37" s="5">
        <v>4.5999999999999996</v>
      </c>
    </row>
    <row r="38" spans="1:2" x14ac:dyDescent="0.2">
      <c r="A38" t="s">
        <v>5</v>
      </c>
      <c r="B38" s="5" t="s">
        <v>24</v>
      </c>
    </row>
    <row r="39" spans="1:2" x14ac:dyDescent="0.2">
      <c r="A39" t="s">
        <v>7</v>
      </c>
      <c r="B39" s="5" t="s">
        <v>25</v>
      </c>
    </row>
    <row r="40" spans="1:2" x14ac:dyDescent="0.2">
      <c r="A40" t="s">
        <v>9</v>
      </c>
      <c r="B40" s="5" t="s">
        <v>26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27</v>
      </c>
    </row>
    <row r="44" spans="1:2" x14ac:dyDescent="0.2">
      <c r="A44" t="s">
        <v>3</v>
      </c>
      <c r="B44" s="5">
        <v>9155</v>
      </c>
    </row>
    <row r="45" spans="1:2" x14ac:dyDescent="0.2">
      <c r="A45" t="s">
        <v>4</v>
      </c>
      <c r="B45" s="5">
        <v>4.7</v>
      </c>
    </row>
    <row r="46" spans="1:2" x14ac:dyDescent="0.2">
      <c r="A46" t="s">
        <v>5</v>
      </c>
      <c r="B46" s="5" t="s">
        <v>28</v>
      </c>
    </row>
    <row r="47" spans="1:2" x14ac:dyDescent="0.2">
      <c r="A47" t="s">
        <v>7</v>
      </c>
      <c r="B47" s="5" t="s">
        <v>29</v>
      </c>
    </row>
    <row r="48" spans="1:2" x14ac:dyDescent="0.2">
      <c r="A48" t="s">
        <v>9</v>
      </c>
      <c r="B48" s="5" t="s">
        <v>30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31</v>
      </c>
    </row>
    <row r="52" spans="1:2" x14ac:dyDescent="0.2">
      <c r="A52" t="s">
        <v>3</v>
      </c>
      <c r="B52" s="5">
        <v>8409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32</v>
      </c>
    </row>
    <row r="55" spans="1:2" x14ac:dyDescent="0.2">
      <c r="A55" t="s">
        <v>7</v>
      </c>
      <c r="B55" s="5" t="s">
        <v>33</v>
      </c>
    </row>
    <row r="56" spans="1:2" x14ac:dyDescent="0.2">
      <c r="A56" t="s">
        <v>9</v>
      </c>
      <c r="B56" s="5" t="s">
        <v>34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35</v>
      </c>
    </row>
    <row r="60" spans="1:2" x14ac:dyDescent="0.2">
      <c r="A60" t="s">
        <v>3</v>
      </c>
      <c r="B60" s="5">
        <v>8381</v>
      </c>
    </row>
    <row r="61" spans="1:2" x14ac:dyDescent="0.2">
      <c r="A61" t="s">
        <v>4</v>
      </c>
      <c r="B61" s="5">
        <v>4.7</v>
      </c>
    </row>
    <row r="62" spans="1:2" x14ac:dyDescent="0.2">
      <c r="A62" t="s">
        <v>5</v>
      </c>
      <c r="B62" s="5" t="s">
        <v>28</v>
      </c>
    </row>
    <row r="63" spans="1:2" x14ac:dyDescent="0.2">
      <c r="A63" t="s">
        <v>7</v>
      </c>
      <c r="B63" s="5" t="s">
        <v>36</v>
      </c>
    </row>
    <row r="64" spans="1:2" x14ac:dyDescent="0.2">
      <c r="A64" t="s">
        <v>9</v>
      </c>
      <c r="B64" s="5" t="s">
        <v>37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38</v>
      </c>
    </row>
    <row r="68" spans="1:2" x14ac:dyDescent="0.2">
      <c r="A68" t="s">
        <v>3</v>
      </c>
      <c r="B68" s="5">
        <v>8179</v>
      </c>
    </row>
    <row r="69" spans="1:2" x14ac:dyDescent="0.2">
      <c r="A69" t="s">
        <v>4</v>
      </c>
      <c r="B69" s="5">
        <v>4.8</v>
      </c>
    </row>
    <row r="70" spans="1:2" x14ac:dyDescent="0.2">
      <c r="A70" t="s">
        <v>5</v>
      </c>
      <c r="B70" s="5" t="s">
        <v>39</v>
      </c>
    </row>
    <row r="71" spans="1:2" x14ac:dyDescent="0.2">
      <c r="A71" t="s">
        <v>7</v>
      </c>
      <c r="B71" s="5" t="s">
        <v>40</v>
      </c>
    </row>
    <row r="72" spans="1:2" x14ac:dyDescent="0.2">
      <c r="A72" t="s">
        <v>9</v>
      </c>
      <c r="B72" s="5" t="s">
        <v>41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42</v>
      </c>
    </row>
    <row r="76" spans="1:2" x14ac:dyDescent="0.2">
      <c r="A76" t="s">
        <v>3</v>
      </c>
      <c r="B76" s="5">
        <v>7343</v>
      </c>
    </row>
    <row r="77" spans="1:2" x14ac:dyDescent="0.2">
      <c r="A77" t="s">
        <v>4</v>
      </c>
      <c r="B77" s="5">
        <v>4.7</v>
      </c>
    </row>
    <row r="78" spans="1:2" x14ac:dyDescent="0.2">
      <c r="A78" t="s">
        <v>5</v>
      </c>
      <c r="B78" s="5" t="s">
        <v>43</v>
      </c>
    </row>
    <row r="79" spans="1:2" x14ac:dyDescent="0.2">
      <c r="A79" t="s">
        <v>7</v>
      </c>
      <c r="B79" s="5" t="s">
        <v>44</v>
      </c>
    </row>
    <row r="80" spans="1:2" x14ac:dyDescent="0.2">
      <c r="A80" t="s">
        <v>9</v>
      </c>
      <c r="B80" s="5" t="s">
        <v>45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46</v>
      </c>
    </row>
    <row r="84" spans="1:2" x14ac:dyDescent="0.2">
      <c r="A84" t="s">
        <v>3</v>
      </c>
      <c r="B84" s="5">
        <v>7297</v>
      </c>
    </row>
    <row r="85" spans="1:2" x14ac:dyDescent="0.2">
      <c r="A85" t="s">
        <v>4</v>
      </c>
      <c r="B85" s="5">
        <v>4.8</v>
      </c>
    </row>
    <row r="86" spans="1:2" x14ac:dyDescent="0.2">
      <c r="A86" t="s">
        <v>5</v>
      </c>
      <c r="B86" s="5" t="s">
        <v>47</v>
      </c>
    </row>
    <row r="87" spans="1:2" x14ac:dyDescent="0.2">
      <c r="A87" t="s">
        <v>7</v>
      </c>
      <c r="B87" s="5" t="s">
        <v>48</v>
      </c>
    </row>
    <row r="88" spans="1:2" x14ac:dyDescent="0.2">
      <c r="A88" t="s">
        <v>9</v>
      </c>
      <c r="B88" s="5" t="s">
        <v>49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50</v>
      </c>
    </row>
    <row r="92" spans="1:2" x14ac:dyDescent="0.2">
      <c r="A92" t="s">
        <v>3</v>
      </c>
      <c r="B92" s="5">
        <v>7233</v>
      </c>
    </row>
    <row r="93" spans="1:2" x14ac:dyDescent="0.2">
      <c r="A93" t="s">
        <v>4</v>
      </c>
      <c r="B93" s="5">
        <v>4.7</v>
      </c>
    </row>
    <row r="94" spans="1:2" x14ac:dyDescent="0.2">
      <c r="A94" t="s">
        <v>5</v>
      </c>
      <c r="B94" s="5" t="s">
        <v>51</v>
      </c>
    </row>
    <row r="95" spans="1:2" x14ac:dyDescent="0.2">
      <c r="A95" t="s">
        <v>7</v>
      </c>
      <c r="B95" s="5" t="s">
        <v>52</v>
      </c>
    </row>
    <row r="96" spans="1:2" x14ac:dyDescent="0.2">
      <c r="A96" t="s">
        <v>9</v>
      </c>
      <c r="B96" s="5" t="s">
        <v>53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54</v>
      </c>
    </row>
    <row r="100" spans="1:2" x14ac:dyDescent="0.2">
      <c r="A100" t="s">
        <v>3</v>
      </c>
      <c r="B100" s="5">
        <v>7058</v>
      </c>
    </row>
    <row r="101" spans="1:2" x14ac:dyDescent="0.2">
      <c r="A101" t="s">
        <v>4</v>
      </c>
      <c r="B101" s="5">
        <v>4.8</v>
      </c>
    </row>
    <row r="102" spans="1:2" x14ac:dyDescent="0.2">
      <c r="A102" t="s">
        <v>5</v>
      </c>
      <c r="B102" s="5" t="s">
        <v>55</v>
      </c>
    </row>
    <row r="103" spans="1:2" x14ac:dyDescent="0.2">
      <c r="A103" t="s">
        <v>7</v>
      </c>
      <c r="B103" s="5" t="s">
        <v>56</v>
      </c>
    </row>
    <row r="104" spans="1:2" x14ac:dyDescent="0.2">
      <c r="A104" t="s">
        <v>9</v>
      </c>
      <c r="B104" s="5" t="s">
        <v>57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58</v>
      </c>
    </row>
    <row r="108" spans="1:2" x14ac:dyDescent="0.2">
      <c r="A108" t="s">
        <v>3</v>
      </c>
      <c r="B108" s="5">
        <v>7026</v>
      </c>
    </row>
    <row r="109" spans="1:2" x14ac:dyDescent="0.2">
      <c r="A109" t="s">
        <v>4</v>
      </c>
      <c r="B109" s="5">
        <v>4.7</v>
      </c>
    </row>
    <row r="110" spans="1:2" x14ac:dyDescent="0.2">
      <c r="A110" t="s">
        <v>5</v>
      </c>
      <c r="B110" s="5" t="s">
        <v>59</v>
      </c>
    </row>
    <row r="111" spans="1:2" x14ac:dyDescent="0.2">
      <c r="A111" t="s">
        <v>7</v>
      </c>
      <c r="B111" s="5" t="s">
        <v>36</v>
      </c>
    </row>
    <row r="112" spans="1:2" x14ac:dyDescent="0.2">
      <c r="A112" t="s">
        <v>9</v>
      </c>
      <c r="B112" s="5" t="s">
        <v>60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61</v>
      </c>
    </row>
    <row r="116" spans="1:2" x14ac:dyDescent="0.2">
      <c r="A116" t="s">
        <v>3</v>
      </c>
      <c r="B116" s="5">
        <v>6605</v>
      </c>
    </row>
    <row r="117" spans="1:2" x14ac:dyDescent="0.2">
      <c r="A117" t="s">
        <v>4</v>
      </c>
      <c r="B117" s="5">
        <v>4.8</v>
      </c>
    </row>
    <row r="118" spans="1:2" x14ac:dyDescent="0.2">
      <c r="A118" t="s">
        <v>5</v>
      </c>
      <c r="B118" s="5" t="s">
        <v>62</v>
      </c>
    </row>
    <row r="119" spans="1:2" x14ac:dyDescent="0.2">
      <c r="A119" t="s">
        <v>7</v>
      </c>
      <c r="B119" s="5" t="s">
        <v>33</v>
      </c>
    </row>
    <row r="120" spans="1:2" x14ac:dyDescent="0.2">
      <c r="A120" t="s">
        <v>9</v>
      </c>
      <c r="B120" s="5" t="s">
        <v>63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64</v>
      </c>
    </row>
    <row r="124" spans="1:2" x14ac:dyDescent="0.2">
      <c r="A124" t="s">
        <v>3</v>
      </c>
      <c r="B124" s="5">
        <v>6531</v>
      </c>
    </row>
    <row r="125" spans="1:2" x14ac:dyDescent="0.2">
      <c r="A125" t="s">
        <v>4</v>
      </c>
      <c r="B125" s="5">
        <v>4.5999999999999996</v>
      </c>
    </row>
    <row r="126" spans="1:2" x14ac:dyDescent="0.2">
      <c r="A126" t="s">
        <v>5</v>
      </c>
      <c r="B126" s="5" t="s">
        <v>65</v>
      </c>
    </row>
    <row r="127" spans="1:2" x14ac:dyDescent="0.2">
      <c r="A127" t="s">
        <v>7</v>
      </c>
      <c r="B127" s="5" t="s">
        <v>48</v>
      </c>
    </row>
    <row r="128" spans="1:2" x14ac:dyDescent="0.2">
      <c r="A128" t="s">
        <v>9</v>
      </c>
      <c r="B128" s="5" t="s">
        <v>66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67</v>
      </c>
    </row>
    <row r="132" spans="1:2" x14ac:dyDescent="0.2">
      <c r="A132" t="s">
        <v>3</v>
      </c>
      <c r="B132" s="5">
        <v>6488</v>
      </c>
    </row>
    <row r="133" spans="1:2" x14ac:dyDescent="0.2">
      <c r="A133" t="s">
        <v>4</v>
      </c>
      <c r="B133" s="5">
        <v>4.5999999999999996</v>
      </c>
    </row>
    <row r="134" spans="1:2" x14ac:dyDescent="0.2">
      <c r="A134" t="s">
        <v>5</v>
      </c>
      <c r="B134" s="5" t="s">
        <v>68</v>
      </c>
    </row>
    <row r="135" spans="1:2" x14ac:dyDescent="0.2">
      <c r="A135" t="s">
        <v>7</v>
      </c>
      <c r="B135" s="5" t="s">
        <v>69</v>
      </c>
    </row>
    <row r="136" spans="1:2" x14ac:dyDescent="0.2">
      <c r="A136" t="s">
        <v>9</v>
      </c>
      <c r="B136" s="5" t="s">
        <v>70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71</v>
      </c>
    </row>
    <row r="140" spans="1:2" x14ac:dyDescent="0.2">
      <c r="A140" t="s">
        <v>3</v>
      </c>
      <c r="B140" s="5">
        <v>6354</v>
      </c>
    </row>
    <row r="141" spans="1:2" x14ac:dyDescent="0.2">
      <c r="A141" t="s">
        <v>4</v>
      </c>
      <c r="B141" s="5">
        <v>4.4000000000000004</v>
      </c>
    </row>
    <row r="142" spans="1:2" x14ac:dyDescent="0.2">
      <c r="A142" t="s">
        <v>5</v>
      </c>
      <c r="B142" s="5" t="s">
        <v>72</v>
      </c>
    </row>
    <row r="143" spans="1:2" x14ac:dyDescent="0.2">
      <c r="A143" t="s">
        <v>7</v>
      </c>
      <c r="B143" s="5" t="s">
        <v>73</v>
      </c>
    </row>
    <row r="144" spans="1:2" x14ac:dyDescent="0.2">
      <c r="A144" t="s">
        <v>9</v>
      </c>
      <c r="B144" s="5" t="s">
        <v>74</v>
      </c>
    </row>
    <row r="146" spans="1:27" x14ac:dyDescent="0.2">
      <c r="A146" t="s">
        <v>0</v>
      </c>
      <c r="B146" s="5">
        <v>19</v>
      </c>
    </row>
    <row r="147" spans="1:27" x14ac:dyDescent="0.2">
      <c r="A147" t="s">
        <v>1</v>
      </c>
      <c r="B147" s="5" t="s">
        <v>75</v>
      </c>
    </row>
    <row r="148" spans="1:27" x14ac:dyDescent="0.2">
      <c r="A148" t="s">
        <v>3</v>
      </c>
      <c r="B148" s="5">
        <v>6282</v>
      </c>
    </row>
    <row r="149" spans="1:27" x14ac:dyDescent="0.2">
      <c r="A149" t="s">
        <v>4</v>
      </c>
      <c r="B149" s="5">
        <v>4.7</v>
      </c>
    </row>
    <row r="150" spans="1:27" x14ac:dyDescent="0.2">
      <c r="A150" t="s">
        <v>5</v>
      </c>
      <c r="B150" s="5" t="s">
        <v>76</v>
      </c>
    </row>
    <row r="151" spans="1:27" x14ac:dyDescent="0.2">
      <c r="A151" t="s">
        <v>7</v>
      </c>
      <c r="B151" s="5" t="s">
        <v>77</v>
      </c>
    </row>
    <row r="152" spans="1:27" x14ac:dyDescent="0.2">
      <c r="A152" t="s">
        <v>9</v>
      </c>
      <c r="B152" s="5" t="s">
        <v>78</v>
      </c>
    </row>
    <row r="153" spans="1:27" x14ac:dyDescent="0.2">
      <c r="V153" s="2"/>
      <c r="W153" s="4"/>
      <c r="X153" s="4"/>
      <c r="Y153" s="2"/>
      <c r="Z153" s="4"/>
      <c r="AA153" s="4"/>
    </row>
    <row r="154" spans="1:27" x14ac:dyDescent="0.2">
      <c r="A154" t="s">
        <v>0</v>
      </c>
      <c r="B154" s="5">
        <v>20</v>
      </c>
    </row>
    <row r="155" spans="1:27" x14ac:dyDescent="0.2">
      <c r="A155" t="s">
        <v>1</v>
      </c>
      <c r="B155" s="5" t="s">
        <v>79</v>
      </c>
    </row>
    <row r="156" spans="1:27" x14ac:dyDescent="0.2">
      <c r="A156" t="s">
        <v>3</v>
      </c>
      <c r="B156" s="5">
        <v>6185</v>
      </c>
    </row>
    <row r="157" spans="1:27" x14ac:dyDescent="0.2">
      <c r="A157" t="s">
        <v>4</v>
      </c>
      <c r="B157" s="5">
        <v>4.7</v>
      </c>
    </row>
    <row r="158" spans="1:27" x14ac:dyDescent="0.2">
      <c r="A158" t="s">
        <v>5</v>
      </c>
      <c r="B158" s="5" t="s">
        <v>80</v>
      </c>
    </row>
    <row r="159" spans="1:27" x14ac:dyDescent="0.2">
      <c r="A159" t="s">
        <v>7</v>
      </c>
      <c r="B159" s="5" t="s">
        <v>81</v>
      </c>
    </row>
    <row r="160" spans="1:27" x14ac:dyDescent="0.2">
      <c r="A160" t="s">
        <v>9</v>
      </c>
      <c r="B160" s="5" t="s">
        <v>82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83</v>
      </c>
    </row>
    <row r="164" spans="1:2" x14ac:dyDescent="0.2">
      <c r="A164" t="s">
        <v>3</v>
      </c>
      <c r="B164" s="5">
        <v>6104</v>
      </c>
    </row>
    <row r="165" spans="1:2" x14ac:dyDescent="0.2">
      <c r="A165" t="s">
        <v>4</v>
      </c>
      <c r="B165" s="5">
        <v>4.7</v>
      </c>
    </row>
    <row r="166" spans="1:2" x14ac:dyDescent="0.2">
      <c r="A166" t="s">
        <v>5</v>
      </c>
      <c r="B166" s="5" t="s">
        <v>84</v>
      </c>
    </row>
    <row r="167" spans="1:2" x14ac:dyDescent="0.2">
      <c r="A167" t="s">
        <v>7</v>
      </c>
      <c r="B167" s="5" t="s">
        <v>85</v>
      </c>
    </row>
    <row r="168" spans="1:2" x14ac:dyDescent="0.2">
      <c r="A168" t="s">
        <v>9</v>
      </c>
      <c r="B168" s="5" t="s">
        <v>86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87</v>
      </c>
    </row>
    <row r="172" spans="1:2" x14ac:dyDescent="0.2">
      <c r="A172" t="s">
        <v>3</v>
      </c>
      <c r="B172" s="5">
        <v>5978</v>
      </c>
    </row>
    <row r="173" spans="1:2" x14ac:dyDescent="0.2">
      <c r="A173" t="s">
        <v>4</v>
      </c>
      <c r="B173" s="5">
        <v>4.7</v>
      </c>
    </row>
    <row r="174" spans="1:2" x14ac:dyDescent="0.2">
      <c r="A174" t="s">
        <v>5</v>
      </c>
      <c r="B174" s="5" t="s">
        <v>88</v>
      </c>
    </row>
    <row r="175" spans="1:2" x14ac:dyDescent="0.2">
      <c r="A175" t="s">
        <v>7</v>
      </c>
      <c r="B175" s="5" t="s">
        <v>89</v>
      </c>
    </row>
    <row r="176" spans="1:2" x14ac:dyDescent="0.2">
      <c r="A176" t="s">
        <v>9</v>
      </c>
      <c r="B176" s="5" t="s">
        <v>90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91</v>
      </c>
    </row>
    <row r="180" spans="1:2" x14ac:dyDescent="0.2">
      <c r="A180" t="s">
        <v>3</v>
      </c>
      <c r="B180" s="5">
        <v>5874</v>
      </c>
    </row>
    <row r="181" spans="1:2" x14ac:dyDescent="0.2">
      <c r="A181" t="s">
        <v>4</v>
      </c>
      <c r="B181" s="5">
        <v>4.8</v>
      </c>
    </row>
    <row r="182" spans="1:2" x14ac:dyDescent="0.2">
      <c r="A182" t="s">
        <v>5</v>
      </c>
      <c r="B182" s="5" t="s">
        <v>92</v>
      </c>
    </row>
    <row r="183" spans="1:2" x14ac:dyDescent="0.2">
      <c r="A183" t="s">
        <v>7</v>
      </c>
      <c r="B183" s="5" t="s">
        <v>21</v>
      </c>
    </row>
    <row r="184" spans="1:2" x14ac:dyDescent="0.2">
      <c r="A184" t="s">
        <v>9</v>
      </c>
      <c r="B184" s="5" t="s">
        <v>93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94</v>
      </c>
    </row>
    <row r="188" spans="1:2" x14ac:dyDescent="0.2">
      <c r="A188" t="s">
        <v>3</v>
      </c>
      <c r="B188" s="5">
        <v>5947</v>
      </c>
    </row>
    <row r="189" spans="1:2" x14ac:dyDescent="0.2">
      <c r="A189" t="s">
        <v>4</v>
      </c>
      <c r="B189" s="5">
        <v>4.5999999999999996</v>
      </c>
    </row>
    <row r="190" spans="1:2" x14ac:dyDescent="0.2">
      <c r="A190" t="s">
        <v>5</v>
      </c>
      <c r="B190" s="5" t="s">
        <v>95</v>
      </c>
    </row>
    <row r="191" spans="1:2" x14ac:dyDescent="0.2">
      <c r="A191" t="s">
        <v>7</v>
      </c>
      <c r="B191" s="5" t="s">
        <v>96</v>
      </c>
    </row>
    <row r="192" spans="1:2" x14ac:dyDescent="0.2">
      <c r="A192" t="s">
        <v>9</v>
      </c>
      <c r="B192" s="5" t="s">
        <v>97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98</v>
      </c>
    </row>
    <row r="196" spans="1:2" x14ac:dyDescent="0.2">
      <c r="A196" t="s">
        <v>3</v>
      </c>
      <c r="B196" s="5">
        <v>5901</v>
      </c>
    </row>
    <row r="197" spans="1:2" x14ac:dyDescent="0.2">
      <c r="A197" t="s">
        <v>4</v>
      </c>
      <c r="B197" s="5">
        <v>4.7</v>
      </c>
    </row>
    <row r="198" spans="1:2" x14ac:dyDescent="0.2">
      <c r="A198" t="s">
        <v>5</v>
      </c>
      <c r="B198" s="5" t="s">
        <v>99</v>
      </c>
    </row>
    <row r="199" spans="1:2" x14ac:dyDescent="0.2">
      <c r="A199" t="s">
        <v>7</v>
      </c>
      <c r="B199" s="5" t="s">
        <v>96</v>
      </c>
    </row>
    <row r="200" spans="1:2" x14ac:dyDescent="0.2">
      <c r="A200" t="s">
        <v>9</v>
      </c>
      <c r="B200" s="5" t="s">
        <v>100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101</v>
      </c>
    </row>
    <row r="204" spans="1:2" x14ac:dyDescent="0.2">
      <c r="A204" t="s">
        <v>3</v>
      </c>
      <c r="B204" s="5">
        <v>5729</v>
      </c>
    </row>
    <row r="205" spans="1:2" x14ac:dyDescent="0.2">
      <c r="A205" t="s">
        <v>4</v>
      </c>
      <c r="B205" s="5">
        <v>4.7</v>
      </c>
    </row>
    <row r="206" spans="1:2" x14ac:dyDescent="0.2">
      <c r="A206" t="s">
        <v>5</v>
      </c>
      <c r="B206" s="5" t="s">
        <v>102</v>
      </c>
    </row>
    <row r="207" spans="1:2" x14ac:dyDescent="0.2">
      <c r="A207" t="s">
        <v>7</v>
      </c>
      <c r="B207" s="5" t="s">
        <v>29</v>
      </c>
    </row>
    <row r="208" spans="1:2" x14ac:dyDescent="0.2">
      <c r="A208" t="s">
        <v>9</v>
      </c>
      <c r="B208" s="5" t="s">
        <v>103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104</v>
      </c>
    </row>
    <row r="212" spans="1:2" x14ac:dyDescent="0.2">
      <c r="A212" t="s">
        <v>3</v>
      </c>
      <c r="B212" s="5">
        <v>5692</v>
      </c>
    </row>
    <row r="213" spans="1:2" x14ac:dyDescent="0.2">
      <c r="A213" t="s">
        <v>4</v>
      </c>
      <c r="B213" s="5">
        <v>4.5999999999999996</v>
      </c>
    </row>
    <row r="214" spans="1:2" x14ac:dyDescent="0.2">
      <c r="A214" t="s">
        <v>5</v>
      </c>
      <c r="B214" s="5" t="s">
        <v>105</v>
      </c>
    </row>
    <row r="215" spans="1:2" x14ac:dyDescent="0.2">
      <c r="A215" t="s">
        <v>7</v>
      </c>
      <c r="B215" s="5" t="s">
        <v>81</v>
      </c>
    </row>
    <row r="216" spans="1:2" x14ac:dyDescent="0.2">
      <c r="A216" t="s">
        <v>9</v>
      </c>
      <c r="B216" s="5" t="s">
        <v>106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107</v>
      </c>
    </row>
    <row r="220" spans="1:2" x14ac:dyDescent="0.2">
      <c r="A220" t="s">
        <v>3</v>
      </c>
      <c r="B220" s="5">
        <v>5612</v>
      </c>
    </row>
    <row r="221" spans="1:2" x14ac:dyDescent="0.2">
      <c r="A221" t="s">
        <v>4</v>
      </c>
      <c r="B221" s="5">
        <v>4.8</v>
      </c>
    </row>
    <row r="222" spans="1:2" x14ac:dyDescent="0.2">
      <c r="A222" t="s">
        <v>5</v>
      </c>
      <c r="B222" s="5" t="s">
        <v>108</v>
      </c>
    </row>
    <row r="223" spans="1:2" x14ac:dyDescent="0.2">
      <c r="A223" t="s">
        <v>7</v>
      </c>
      <c r="B223" s="5" t="s">
        <v>52</v>
      </c>
    </row>
    <row r="224" spans="1:2" x14ac:dyDescent="0.2">
      <c r="A224" t="s">
        <v>9</v>
      </c>
      <c r="B224" s="5" t="s">
        <v>109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110</v>
      </c>
    </row>
    <row r="228" spans="1:2" x14ac:dyDescent="0.2">
      <c r="A228" t="s">
        <v>3</v>
      </c>
      <c r="B228" s="5">
        <v>5578</v>
      </c>
    </row>
    <row r="229" spans="1:2" x14ac:dyDescent="0.2">
      <c r="A229" t="s">
        <v>4</v>
      </c>
      <c r="B229" s="5">
        <v>4.8</v>
      </c>
    </row>
    <row r="230" spans="1:2" x14ac:dyDescent="0.2">
      <c r="A230" t="s">
        <v>5</v>
      </c>
      <c r="B230" s="5" t="s">
        <v>111</v>
      </c>
    </row>
    <row r="231" spans="1:2" x14ac:dyDescent="0.2">
      <c r="A231" t="s">
        <v>7</v>
      </c>
      <c r="B231" s="5" t="s">
        <v>112</v>
      </c>
    </row>
    <row r="232" spans="1:2" x14ac:dyDescent="0.2">
      <c r="A232" t="s">
        <v>9</v>
      </c>
      <c r="B232" s="5" t="s">
        <v>113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114</v>
      </c>
    </row>
    <row r="236" spans="1:2" x14ac:dyDescent="0.2">
      <c r="A236" t="s">
        <v>3</v>
      </c>
      <c r="B236" s="5">
        <v>5492</v>
      </c>
    </row>
    <row r="237" spans="1:2" x14ac:dyDescent="0.2">
      <c r="A237" t="s">
        <v>4</v>
      </c>
      <c r="B237" s="5">
        <v>4.5999999999999996</v>
      </c>
    </row>
    <row r="238" spans="1:2" x14ac:dyDescent="0.2">
      <c r="A238" t="s">
        <v>5</v>
      </c>
      <c r="B238" s="5" t="s">
        <v>115</v>
      </c>
    </row>
    <row r="239" spans="1:2" x14ac:dyDescent="0.2">
      <c r="A239" t="s">
        <v>7</v>
      </c>
      <c r="B239" s="5" t="s">
        <v>112</v>
      </c>
    </row>
    <row r="240" spans="1:2" x14ac:dyDescent="0.2">
      <c r="A240" t="s">
        <v>9</v>
      </c>
      <c r="B240" s="5" t="s">
        <v>116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117</v>
      </c>
    </row>
    <row r="244" spans="1:2" x14ac:dyDescent="0.2">
      <c r="A244" t="s">
        <v>3</v>
      </c>
      <c r="B244" s="5">
        <v>5476</v>
      </c>
    </row>
    <row r="245" spans="1:2" x14ac:dyDescent="0.2">
      <c r="A245" t="s">
        <v>4</v>
      </c>
      <c r="B245" s="5">
        <v>4.8</v>
      </c>
    </row>
    <row r="246" spans="1:2" x14ac:dyDescent="0.2">
      <c r="A246" t="s">
        <v>5</v>
      </c>
      <c r="B246" s="5" t="s">
        <v>118</v>
      </c>
    </row>
    <row r="247" spans="1:2" x14ac:dyDescent="0.2">
      <c r="A247" t="s">
        <v>7</v>
      </c>
      <c r="B247" s="5" t="s">
        <v>119</v>
      </c>
    </row>
    <row r="248" spans="1:2" x14ac:dyDescent="0.2">
      <c r="A248" t="s">
        <v>9</v>
      </c>
      <c r="B248" s="5" t="s">
        <v>120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121</v>
      </c>
    </row>
    <row r="252" spans="1:2" x14ac:dyDescent="0.2">
      <c r="A252" t="s">
        <v>3</v>
      </c>
      <c r="B252" s="5">
        <v>5392</v>
      </c>
    </row>
    <row r="253" spans="1:2" x14ac:dyDescent="0.2">
      <c r="A253" t="s">
        <v>4</v>
      </c>
      <c r="B253" s="5">
        <v>4.8</v>
      </c>
    </row>
    <row r="254" spans="1:2" x14ac:dyDescent="0.2">
      <c r="A254" t="s">
        <v>5</v>
      </c>
      <c r="B254" s="5" t="s">
        <v>115</v>
      </c>
    </row>
    <row r="255" spans="1:2" x14ac:dyDescent="0.2">
      <c r="A255" t="s">
        <v>7</v>
      </c>
      <c r="B255" s="5" t="s">
        <v>112</v>
      </c>
    </row>
    <row r="256" spans="1:2" x14ac:dyDescent="0.2">
      <c r="A256" t="s">
        <v>9</v>
      </c>
      <c r="B256" s="5" t="s">
        <v>122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123</v>
      </c>
    </row>
    <row r="260" spans="1:2" x14ac:dyDescent="0.2">
      <c r="A260" t="s">
        <v>3</v>
      </c>
      <c r="B260" s="5">
        <v>5341</v>
      </c>
    </row>
    <row r="261" spans="1:2" x14ac:dyDescent="0.2">
      <c r="A261" t="s">
        <v>4</v>
      </c>
      <c r="B261" s="5">
        <v>4.8</v>
      </c>
    </row>
    <row r="262" spans="1:2" x14ac:dyDescent="0.2">
      <c r="A262" t="s">
        <v>5</v>
      </c>
      <c r="B262" s="5" t="s">
        <v>124</v>
      </c>
    </row>
    <row r="263" spans="1:2" x14ac:dyDescent="0.2">
      <c r="A263" t="s">
        <v>7</v>
      </c>
      <c r="B263" s="5" t="s">
        <v>125</v>
      </c>
    </row>
    <row r="264" spans="1:2" x14ac:dyDescent="0.2">
      <c r="A264" t="s">
        <v>9</v>
      </c>
      <c r="B264" s="5" t="s">
        <v>126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127</v>
      </c>
    </row>
    <row r="268" spans="1:2" x14ac:dyDescent="0.2">
      <c r="A268" t="s">
        <v>3</v>
      </c>
      <c r="B268" s="5">
        <v>5338</v>
      </c>
    </row>
    <row r="269" spans="1:2" x14ac:dyDescent="0.2">
      <c r="A269" t="s">
        <v>4</v>
      </c>
      <c r="B269" s="5">
        <v>4.5999999999999996</v>
      </c>
    </row>
    <row r="270" spans="1:2" x14ac:dyDescent="0.2">
      <c r="A270" t="s">
        <v>5</v>
      </c>
      <c r="B270" s="5" t="s">
        <v>128</v>
      </c>
    </row>
    <row r="271" spans="1:2" x14ac:dyDescent="0.2">
      <c r="A271" t="s">
        <v>7</v>
      </c>
      <c r="B271" s="5" t="s">
        <v>44</v>
      </c>
    </row>
    <row r="272" spans="1:2" x14ac:dyDescent="0.2">
      <c r="A272" t="s">
        <v>9</v>
      </c>
      <c r="B272" s="5" t="s">
        <v>129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130</v>
      </c>
    </row>
    <row r="276" spans="1:2" x14ac:dyDescent="0.2">
      <c r="A276" t="s">
        <v>3</v>
      </c>
      <c r="B276" s="5">
        <v>5313</v>
      </c>
    </row>
    <row r="277" spans="1:2" x14ac:dyDescent="0.2">
      <c r="A277" t="s">
        <v>4</v>
      </c>
      <c r="B277" s="5">
        <v>4.8</v>
      </c>
    </row>
    <row r="278" spans="1:2" x14ac:dyDescent="0.2">
      <c r="A278" t="s">
        <v>5</v>
      </c>
      <c r="B278" s="5" t="s">
        <v>131</v>
      </c>
    </row>
    <row r="279" spans="1:2" x14ac:dyDescent="0.2">
      <c r="A279" t="s">
        <v>7</v>
      </c>
      <c r="B279" s="5" t="s">
        <v>119</v>
      </c>
    </row>
    <row r="280" spans="1:2" x14ac:dyDescent="0.2">
      <c r="A280" t="s">
        <v>9</v>
      </c>
      <c r="B280" s="5" t="s">
        <v>132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133</v>
      </c>
    </row>
    <row r="284" spans="1:2" x14ac:dyDescent="0.2">
      <c r="A284" t="s">
        <v>3</v>
      </c>
      <c r="B284" s="5">
        <v>5304</v>
      </c>
    </row>
    <row r="285" spans="1:2" x14ac:dyDescent="0.2">
      <c r="A285" t="s">
        <v>4</v>
      </c>
      <c r="B285" s="5">
        <v>4.7</v>
      </c>
    </row>
    <row r="286" spans="1:2" x14ac:dyDescent="0.2">
      <c r="A286" t="s">
        <v>5</v>
      </c>
      <c r="B286" s="5" t="s">
        <v>134</v>
      </c>
    </row>
    <row r="287" spans="1:2" x14ac:dyDescent="0.2">
      <c r="A287" t="s">
        <v>7</v>
      </c>
      <c r="B287" s="5" t="s">
        <v>13</v>
      </c>
    </row>
    <row r="288" spans="1:2" x14ac:dyDescent="0.2">
      <c r="A288" t="s">
        <v>9</v>
      </c>
      <c r="B288" s="5" t="s">
        <v>135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136</v>
      </c>
    </row>
    <row r="292" spans="1:2" x14ac:dyDescent="0.2">
      <c r="A292" t="s">
        <v>3</v>
      </c>
      <c r="B292" s="5">
        <v>5293</v>
      </c>
    </row>
    <row r="293" spans="1:2" x14ac:dyDescent="0.2">
      <c r="A293" t="s">
        <v>4</v>
      </c>
      <c r="B293" s="5">
        <v>4.5999999999999996</v>
      </c>
    </row>
    <row r="294" spans="1:2" x14ac:dyDescent="0.2">
      <c r="A294" t="s">
        <v>5</v>
      </c>
      <c r="B294" s="5" t="s">
        <v>102</v>
      </c>
    </row>
    <row r="295" spans="1:2" x14ac:dyDescent="0.2">
      <c r="A295" t="s">
        <v>7</v>
      </c>
      <c r="B295" s="5" t="s">
        <v>25</v>
      </c>
    </row>
    <row r="296" spans="1:2" x14ac:dyDescent="0.2">
      <c r="A296" t="s">
        <v>9</v>
      </c>
      <c r="B296" s="5" t="s">
        <v>137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138</v>
      </c>
    </row>
    <row r="300" spans="1:2" x14ac:dyDescent="0.2">
      <c r="A300" t="s">
        <v>3</v>
      </c>
      <c r="B300" s="5">
        <v>5265</v>
      </c>
    </row>
    <row r="301" spans="1:2" x14ac:dyDescent="0.2">
      <c r="A301" t="s">
        <v>4</v>
      </c>
      <c r="B301" s="5">
        <v>4.5999999999999996</v>
      </c>
    </row>
    <row r="302" spans="1:2" x14ac:dyDescent="0.2">
      <c r="A302" t="s">
        <v>5</v>
      </c>
      <c r="B302" s="5" t="s">
        <v>139</v>
      </c>
    </row>
    <row r="303" spans="1:2" x14ac:dyDescent="0.2">
      <c r="A303" t="s">
        <v>7</v>
      </c>
      <c r="B303" s="5" t="s">
        <v>13</v>
      </c>
    </row>
    <row r="304" spans="1:2" x14ac:dyDescent="0.2">
      <c r="A304" t="s">
        <v>9</v>
      </c>
      <c r="B304" s="5" t="s">
        <v>140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141</v>
      </c>
    </row>
    <row r="308" spans="1:2" x14ac:dyDescent="0.2">
      <c r="A308" t="s">
        <v>3</v>
      </c>
      <c r="B308" s="5">
        <v>5236</v>
      </c>
    </row>
    <row r="309" spans="1:2" x14ac:dyDescent="0.2">
      <c r="A309" t="s">
        <v>4</v>
      </c>
      <c r="B309" s="5">
        <v>4.8</v>
      </c>
    </row>
    <row r="310" spans="1:2" x14ac:dyDescent="0.2">
      <c r="A310" t="s">
        <v>5</v>
      </c>
      <c r="B310" s="5" t="s">
        <v>142</v>
      </c>
    </row>
    <row r="311" spans="1:2" x14ac:dyDescent="0.2">
      <c r="A311" t="s">
        <v>7</v>
      </c>
      <c r="B311" s="5" t="s">
        <v>143</v>
      </c>
    </row>
    <row r="312" spans="1:2" x14ac:dyDescent="0.2">
      <c r="A312" t="s">
        <v>9</v>
      </c>
      <c r="B312" s="5" t="s">
        <v>144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145</v>
      </c>
    </row>
    <row r="316" spans="1:2" x14ac:dyDescent="0.2">
      <c r="A316" t="s">
        <v>3</v>
      </c>
      <c r="B316" s="5">
        <v>5088</v>
      </c>
    </row>
    <row r="317" spans="1:2" x14ac:dyDescent="0.2">
      <c r="A317" t="s">
        <v>4</v>
      </c>
      <c r="B317" s="5">
        <v>4.8</v>
      </c>
    </row>
    <row r="318" spans="1:2" x14ac:dyDescent="0.2">
      <c r="A318" t="s">
        <v>5</v>
      </c>
      <c r="B318" s="5" t="s">
        <v>146</v>
      </c>
    </row>
    <row r="319" spans="1:2" x14ac:dyDescent="0.2">
      <c r="A319" t="s">
        <v>7</v>
      </c>
      <c r="B319" s="5" t="s">
        <v>21</v>
      </c>
    </row>
    <row r="320" spans="1:2" x14ac:dyDescent="0.2">
      <c r="A320" t="s">
        <v>9</v>
      </c>
      <c r="B320" s="5" t="s">
        <v>147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93BE4-769B-4ADC-BC40-8665F73AFCB0}">
  <sheetPr codeName="Sheet3">
    <tabColor rgb="FF00B0F0"/>
  </sheetPr>
  <dimension ref="A1:W38"/>
  <sheetViews>
    <sheetView workbookViewId="0">
      <selection activeCell="G17" sqref="G17"/>
    </sheetView>
  </sheetViews>
  <sheetFormatPr defaultRowHeight="14.25" x14ac:dyDescent="0.2"/>
  <cols>
    <col min="1" max="1" width="12.625" bestFit="1" customWidth="1"/>
    <col min="2" max="21" width="8.625" customWidth="1"/>
  </cols>
  <sheetData>
    <row r="1" spans="1:21" ht="15" thickBot="1" x14ac:dyDescent="0.25">
      <c r="A1" s="10" t="str">
        <f>HYPERLINK(INDEX(获取工作表名,1)&amp;"!A"&amp;MATCH("亚龙广场店",汇总!B:B,0),"亚龙广场店")</f>
        <v>亚龙广场店</v>
      </c>
    </row>
    <row r="6" spans="1:21" s="3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</row>
    <row r="7" spans="1:21" s="3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</row>
    <row r="8" spans="1:21" s="3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s="3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s="3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</row>
    <row r="11" spans="1:21" s="3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</row>
    <row r="12" spans="1:21" s="3" customForma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s="3" customForma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s="3" customForma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s="3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s="3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s="3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s="3" customForma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38" spans="22:23" ht="16.5" x14ac:dyDescent="0.3">
      <c r="V38" s="1"/>
      <c r="W38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AEF2-6318-4620-854A-683B4E2D9799}">
  <sheetPr codeName="Sheet4">
    <tabColor rgb="FF00B0F0"/>
  </sheetPr>
  <dimension ref="A1:C320"/>
  <sheetViews>
    <sheetView topLeftCell="A304" zoomScaleNormal="100" workbookViewId="0">
      <selection activeCell="T24" sqref="T24"/>
    </sheetView>
  </sheetViews>
  <sheetFormatPr defaultRowHeight="14.25" x14ac:dyDescent="0.2"/>
  <cols>
    <col min="1" max="1" width="9" bestFit="1" customWidth="1"/>
    <col min="2" max="2" width="7.125" style="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2" ht="15" thickBot="1" x14ac:dyDescent="0.25">
      <c r="A1" s="10" t="str">
        <f>HYPERLINK(INDEX(获取工作表名,1)&amp;"!A"&amp;MATCH("五角场店",汇总!B:B,0),"五角场店")</f>
        <v>五角场店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166</v>
      </c>
    </row>
    <row r="4" spans="1:2" x14ac:dyDescent="0.2">
      <c r="A4" t="s">
        <v>3</v>
      </c>
      <c r="B4" s="5">
        <v>13576</v>
      </c>
    </row>
    <row r="5" spans="1:2" x14ac:dyDescent="0.2">
      <c r="A5" t="s">
        <v>4</v>
      </c>
      <c r="B5" s="5">
        <v>4.7</v>
      </c>
    </row>
    <row r="6" spans="1:2" x14ac:dyDescent="0.2">
      <c r="A6" t="s">
        <v>5</v>
      </c>
      <c r="B6" s="5" t="s">
        <v>167</v>
      </c>
    </row>
    <row r="7" spans="1:2" x14ac:dyDescent="0.2">
      <c r="A7" t="s">
        <v>7</v>
      </c>
      <c r="B7" s="5" t="s">
        <v>8</v>
      </c>
    </row>
    <row r="8" spans="1:2" x14ac:dyDescent="0.2">
      <c r="A8" t="s">
        <v>9</v>
      </c>
      <c r="B8" s="5" t="s">
        <v>168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169</v>
      </c>
    </row>
    <row r="12" spans="1:2" x14ac:dyDescent="0.2">
      <c r="A12" t="s">
        <v>3</v>
      </c>
      <c r="B12" s="5">
        <v>12653</v>
      </c>
    </row>
    <row r="13" spans="1:2" x14ac:dyDescent="0.2">
      <c r="A13" t="s">
        <v>4</v>
      </c>
      <c r="B13" s="5">
        <v>4.8</v>
      </c>
    </row>
    <row r="14" spans="1:2" x14ac:dyDescent="0.2">
      <c r="A14" t="s">
        <v>5</v>
      </c>
      <c r="B14" s="5" t="s">
        <v>170</v>
      </c>
    </row>
    <row r="15" spans="1:2" x14ac:dyDescent="0.2">
      <c r="A15" t="s">
        <v>7</v>
      </c>
      <c r="B15" s="5" t="s">
        <v>81</v>
      </c>
    </row>
    <row r="16" spans="1:2" x14ac:dyDescent="0.2">
      <c r="A16" t="s">
        <v>9</v>
      </c>
      <c r="B16" s="5" t="s">
        <v>171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172</v>
      </c>
    </row>
    <row r="20" spans="1:2" x14ac:dyDescent="0.2">
      <c r="A20" t="s">
        <v>3</v>
      </c>
      <c r="B20" s="5">
        <v>9286</v>
      </c>
    </row>
    <row r="21" spans="1:2" x14ac:dyDescent="0.2">
      <c r="A21" t="s">
        <v>4</v>
      </c>
      <c r="B21" s="5">
        <v>4.8</v>
      </c>
    </row>
    <row r="22" spans="1:2" x14ac:dyDescent="0.2">
      <c r="A22" t="s">
        <v>5</v>
      </c>
      <c r="B22" s="5" t="s">
        <v>173</v>
      </c>
    </row>
    <row r="23" spans="1:2" x14ac:dyDescent="0.2">
      <c r="A23" t="s">
        <v>7</v>
      </c>
      <c r="B23" s="5" t="s">
        <v>21</v>
      </c>
    </row>
    <row r="24" spans="1:2" x14ac:dyDescent="0.2">
      <c r="A24" t="s">
        <v>9</v>
      </c>
      <c r="B24" s="5" t="s">
        <v>18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174</v>
      </c>
    </row>
    <row r="28" spans="1:2" x14ac:dyDescent="0.2">
      <c r="A28" t="s">
        <v>3</v>
      </c>
      <c r="B28" s="5">
        <v>8955</v>
      </c>
    </row>
    <row r="29" spans="1:2" x14ac:dyDescent="0.2">
      <c r="A29" t="s">
        <v>4</v>
      </c>
      <c r="B29" s="5">
        <v>4.8</v>
      </c>
    </row>
    <row r="30" spans="1:2" x14ac:dyDescent="0.2">
      <c r="A30" t="s">
        <v>5</v>
      </c>
      <c r="B30" s="5" t="s">
        <v>175</v>
      </c>
    </row>
    <row r="31" spans="1:2" x14ac:dyDescent="0.2">
      <c r="A31" t="s">
        <v>7</v>
      </c>
      <c r="B31" s="5" t="s">
        <v>176</v>
      </c>
    </row>
    <row r="32" spans="1:2" x14ac:dyDescent="0.2">
      <c r="A32" t="s">
        <v>9</v>
      </c>
      <c r="B32" s="5" t="s">
        <v>177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178</v>
      </c>
    </row>
    <row r="36" spans="1:2" x14ac:dyDescent="0.2">
      <c r="A36" t="s">
        <v>3</v>
      </c>
      <c r="B36" s="5">
        <v>8939</v>
      </c>
    </row>
    <row r="37" spans="1:2" x14ac:dyDescent="0.2">
      <c r="A37" t="s">
        <v>4</v>
      </c>
      <c r="B37" s="5">
        <v>4.8</v>
      </c>
    </row>
    <row r="38" spans="1:2" x14ac:dyDescent="0.2">
      <c r="A38" t="s">
        <v>5</v>
      </c>
      <c r="B38" s="5" t="s">
        <v>179</v>
      </c>
    </row>
    <row r="39" spans="1:2" x14ac:dyDescent="0.2">
      <c r="A39" t="s">
        <v>7</v>
      </c>
      <c r="B39" s="5" t="s">
        <v>180</v>
      </c>
    </row>
    <row r="40" spans="1:2" x14ac:dyDescent="0.2">
      <c r="A40" t="s">
        <v>9</v>
      </c>
      <c r="B40" s="5" t="s">
        <v>41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181</v>
      </c>
    </row>
    <row r="44" spans="1:2" x14ac:dyDescent="0.2">
      <c r="A44" t="s">
        <v>3</v>
      </c>
      <c r="B44" s="5">
        <v>8819</v>
      </c>
    </row>
    <row r="45" spans="1:2" x14ac:dyDescent="0.2">
      <c r="A45" t="s">
        <v>4</v>
      </c>
      <c r="B45" s="5">
        <v>4.8</v>
      </c>
    </row>
    <row r="46" spans="1:2" x14ac:dyDescent="0.2">
      <c r="A46" t="s">
        <v>5</v>
      </c>
      <c r="B46" s="5" t="s">
        <v>182</v>
      </c>
    </row>
    <row r="47" spans="1:2" x14ac:dyDescent="0.2">
      <c r="A47" t="s">
        <v>7</v>
      </c>
      <c r="B47" s="5" t="s">
        <v>183</v>
      </c>
    </row>
    <row r="48" spans="1:2" x14ac:dyDescent="0.2">
      <c r="A48" t="s">
        <v>9</v>
      </c>
      <c r="B48" s="5" t="s">
        <v>184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185</v>
      </c>
    </row>
    <row r="52" spans="1:2" x14ac:dyDescent="0.2">
      <c r="A52" t="s">
        <v>3</v>
      </c>
      <c r="B52" s="5">
        <v>8758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146</v>
      </c>
    </row>
    <row r="55" spans="1:2" x14ac:dyDescent="0.2">
      <c r="A55" t="s">
        <v>7</v>
      </c>
      <c r="B55" s="5" t="s">
        <v>77</v>
      </c>
    </row>
    <row r="56" spans="1:2" x14ac:dyDescent="0.2">
      <c r="A56" t="s">
        <v>9</v>
      </c>
      <c r="B56" s="5" t="s">
        <v>186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187</v>
      </c>
    </row>
    <row r="60" spans="1:2" x14ac:dyDescent="0.2">
      <c r="A60" t="s">
        <v>3</v>
      </c>
      <c r="B60" s="5">
        <v>7715</v>
      </c>
    </row>
    <row r="61" spans="1:2" x14ac:dyDescent="0.2">
      <c r="A61" t="s">
        <v>4</v>
      </c>
      <c r="B61" s="5">
        <v>4.4000000000000004</v>
      </c>
    </row>
    <row r="62" spans="1:2" x14ac:dyDescent="0.2">
      <c r="A62" t="s">
        <v>5</v>
      </c>
      <c r="B62" s="5" t="s">
        <v>111</v>
      </c>
    </row>
    <row r="63" spans="1:2" x14ac:dyDescent="0.2">
      <c r="A63" t="s">
        <v>7</v>
      </c>
      <c r="B63" s="5" t="s">
        <v>13</v>
      </c>
    </row>
    <row r="64" spans="1:2" x14ac:dyDescent="0.2">
      <c r="A64" t="s">
        <v>9</v>
      </c>
      <c r="B64" s="5" t="s">
        <v>188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189</v>
      </c>
    </row>
    <row r="68" spans="1:2" x14ac:dyDescent="0.2">
      <c r="A68" t="s">
        <v>3</v>
      </c>
      <c r="B68" s="5">
        <v>7683</v>
      </c>
    </row>
    <row r="69" spans="1:2" x14ac:dyDescent="0.2">
      <c r="A69" t="s">
        <v>4</v>
      </c>
      <c r="B69" s="5">
        <v>4.8</v>
      </c>
    </row>
    <row r="70" spans="1:2" x14ac:dyDescent="0.2">
      <c r="A70" t="s">
        <v>5</v>
      </c>
      <c r="B70" s="5" t="s">
        <v>190</v>
      </c>
    </row>
    <row r="71" spans="1:2" x14ac:dyDescent="0.2">
      <c r="A71" t="s">
        <v>7</v>
      </c>
      <c r="B71" s="5" t="s">
        <v>112</v>
      </c>
    </row>
    <row r="72" spans="1:2" x14ac:dyDescent="0.2">
      <c r="A72" t="s">
        <v>9</v>
      </c>
      <c r="B72" s="5" t="s">
        <v>191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192</v>
      </c>
    </row>
    <row r="76" spans="1:2" x14ac:dyDescent="0.2">
      <c r="A76" t="s">
        <v>3</v>
      </c>
      <c r="B76" s="5">
        <v>7678</v>
      </c>
    </row>
    <row r="77" spans="1:2" x14ac:dyDescent="0.2">
      <c r="A77" t="s">
        <v>4</v>
      </c>
      <c r="B77" s="5">
        <v>4.7</v>
      </c>
    </row>
    <row r="78" spans="1:2" x14ac:dyDescent="0.2">
      <c r="A78" t="s">
        <v>5</v>
      </c>
      <c r="B78" s="5" t="s">
        <v>193</v>
      </c>
    </row>
    <row r="79" spans="1:2" x14ac:dyDescent="0.2">
      <c r="A79" t="s">
        <v>7</v>
      </c>
      <c r="B79" s="5" t="s">
        <v>194</v>
      </c>
    </row>
    <row r="80" spans="1:2" x14ac:dyDescent="0.2">
      <c r="A80" t="s">
        <v>9</v>
      </c>
      <c r="B80" s="5" t="s">
        <v>195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196</v>
      </c>
    </row>
    <row r="84" spans="1:2" x14ac:dyDescent="0.2">
      <c r="A84" t="s">
        <v>3</v>
      </c>
      <c r="B84" s="5">
        <v>7461</v>
      </c>
    </row>
    <row r="85" spans="1:2" x14ac:dyDescent="0.2">
      <c r="A85" t="s">
        <v>4</v>
      </c>
      <c r="B85" s="5">
        <v>4.8</v>
      </c>
    </row>
    <row r="86" spans="1:2" x14ac:dyDescent="0.2">
      <c r="A86" t="s">
        <v>5</v>
      </c>
      <c r="B86" s="5" t="s">
        <v>197</v>
      </c>
    </row>
    <row r="87" spans="1:2" x14ac:dyDescent="0.2">
      <c r="A87" t="s">
        <v>7</v>
      </c>
      <c r="B87" s="5" t="s">
        <v>17</v>
      </c>
    </row>
    <row r="88" spans="1:2" x14ac:dyDescent="0.2">
      <c r="A88" t="s">
        <v>9</v>
      </c>
      <c r="B88" s="5" t="s">
        <v>198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46</v>
      </c>
    </row>
    <row r="92" spans="1:2" x14ac:dyDescent="0.2">
      <c r="A92" t="s">
        <v>3</v>
      </c>
      <c r="B92" s="5">
        <v>7297</v>
      </c>
    </row>
    <row r="93" spans="1:2" x14ac:dyDescent="0.2">
      <c r="A93" t="s">
        <v>4</v>
      </c>
      <c r="B93" s="5">
        <v>4.8</v>
      </c>
    </row>
    <row r="94" spans="1:2" x14ac:dyDescent="0.2">
      <c r="A94" t="s">
        <v>5</v>
      </c>
      <c r="B94" s="5" t="s">
        <v>199</v>
      </c>
    </row>
    <row r="95" spans="1:2" x14ac:dyDescent="0.2">
      <c r="A95" t="s">
        <v>7</v>
      </c>
      <c r="B95" s="5" t="s">
        <v>200</v>
      </c>
    </row>
    <row r="96" spans="1:2" x14ac:dyDescent="0.2">
      <c r="A96" t="s">
        <v>9</v>
      </c>
      <c r="B96" s="5" t="s">
        <v>49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201</v>
      </c>
    </row>
    <row r="100" spans="1:2" x14ac:dyDescent="0.2">
      <c r="A100" t="s">
        <v>3</v>
      </c>
      <c r="B100" s="5">
        <v>7261</v>
      </c>
    </row>
    <row r="101" spans="1:2" x14ac:dyDescent="0.2">
      <c r="A101" t="s">
        <v>4</v>
      </c>
      <c r="B101" s="5">
        <v>4.5999999999999996</v>
      </c>
    </row>
    <row r="102" spans="1:2" x14ac:dyDescent="0.2">
      <c r="A102" t="s">
        <v>5</v>
      </c>
      <c r="B102" s="5" t="s">
        <v>202</v>
      </c>
    </row>
    <row r="103" spans="1:2" x14ac:dyDescent="0.2">
      <c r="A103" t="s">
        <v>7</v>
      </c>
      <c r="B103" s="5" t="s">
        <v>183</v>
      </c>
    </row>
    <row r="104" spans="1:2" x14ac:dyDescent="0.2">
      <c r="A104" t="s">
        <v>9</v>
      </c>
      <c r="B104" s="5" t="s">
        <v>203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204</v>
      </c>
    </row>
    <row r="108" spans="1:2" x14ac:dyDescent="0.2">
      <c r="A108" t="s">
        <v>3</v>
      </c>
      <c r="B108" s="5">
        <v>7151</v>
      </c>
    </row>
    <row r="109" spans="1:2" x14ac:dyDescent="0.2">
      <c r="A109" t="s">
        <v>4</v>
      </c>
      <c r="B109" s="5">
        <v>4.7</v>
      </c>
    </row>
    <row r="110" spans="1:2" x14ac:dyDescent="0.2">
      <c r="A110" t="s">
        <v>5</v>
      </c>
      <c r="B110" s="5" t="s">
        <v>205</v>
      </c>
    </row>
    <row r="111" spans="1:2" x14ac:dyDescent="0.2">
      <c r="A111" t="s">
        <v>7</v>
      </c>
      <c r="B111" s="5" t="s">
        <v>206</v>
      </c>
    </row>
    <row r="112" spans="1:2" x14ac:dyDescent="0.2">
      <c r="A112" t="s">
        <v>9</v>
      </c>
      <c r="B112" s="5" t="s">
        <v>207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54</v>
      </c>
    </row>
    <row r="116" spans="1:2" x14ac:dyDescent="0.2">
      <c r="A116" t="s">
        <v>3</v>
      </c>
      <c r="B116" s="5">
        <v>7058</v>
      </c>
    </row>
    <row r="117" spans="1:2" x14ac:dyDescent="0.2">
      <c r="A117" t="s">
        <v>4</v>
      </c>
      <c r="B117" s="5">
        <v>4.8</v>
      </c>
    </row>
    <row r="118" spans="1:2" x14ac:dyDescent="0.2">
      <c r="A118" t="s">
        <v>5</v>
      </c>
      <c r="B118" s="5" t="s">
        <v>208</v>
      </c>
    </row>
    <row r="119" spans="1:2" x14ac:dyDescent="0.2">
      <c r="A119" t="s">
        <v>7</v>
      </c>
      <c r="B119" s="5" t="s">
        <v>56</v>
      </c>
    </row>
    <row r="120" spans="1:2" x14ac:dyDescent="0.2">
      <c r="A120" t="s">
        <v>9</v>
      </c>
      <c r="B120" s="5" t="s">
        <v>57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209</v>
      </c>
    </row>
    <row r="124" spans="1:2" x14ac:dyDescent="0.2">
      <c r="A124" t="s">
        <v>3</v>
      </c>
      <c r="B124" s="5">
        <v>6968</v>
      </c>
    </row>
    <row r="125" spans="1:2" x14ac:dyDescent="0.2">
      <c r="A125" t="s">
        <v>4</v>
      </c>
      <c r="B125" s="5">
        <v>4.8</v>
      </c>
    </row>
    <row r="126" spans="1:2" x14ac:dyDescent="0.2">
      <c r="A126" t="s">
        <v>5</v>
      </c>
      <c r="B126" s="5" t="s">
        <v>210</v>
      </c>
    </row>
    <row r="127" spans="1:2" x14ac:dyDescent="0.2">
      <c r="A127" t="s">
        <v>7</v>
      </c>
      <c r="B127" s="5" t="s">
        <v>112</v>
      </c>
    </row>
    <row r="128" spans="1:2" x14ac:dyDescent="0.2">
      <c r="A128" t="s">
        <v>9</v>
      </c>
      <c r="B128" s="5" t="s">
        <v>211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212</v>
      </c>
    </row>
    <row r="132" spans="1:2" x14ac:dyDescent="0.2">
      <c r="A132" t="s">
        <v>3</v>
      </c>
      <c r="B132" s="5">
        <v>6898</v>
      </c>
    </row>
    <row r="133" spans="1:2" x14ac:dyDescent="0.2">
      <c r="A133" t="s">
        <v>4</v>
      </c>
      <c r="B133" s="5">
        <v>4.7</v>
      </c>
    </row>
    <row r="134" spans="1:2" x14ac:dyDescent="0.2">
      <c r="A134" t="s">
        <v>5</v>
      </c>
      <c r="B134" s="5" t="s">
        <v>213</v>
      </c>
    </row>
    <row r="135" spans="1:2" x14ac:dyDescent="0.2">
      <c r="A135" t="s">
        <v>7</v>
      </c>
      <c r="B135" s="5" t="s">
        <v>8</v>
      </c>
    </row>
    <row r="136" spans="1:2" x14ac:dyDescent="0.2">
      <c r="A136" t="s">
        <v>9</v>
      </c>
      <c r="B136" s="5" t="s">
        <v>214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215</v>
      </c>
    </row>
    <row r="140" spans="1:2" x14ac:dyDescent="0.2">
      <c r="A140" t="s">
        <v>3</v>
      </c>
      <c r="B140" s="5">
        <v>6875</v>
      </c>
    </row>
    <row r="141" spans="1:2" x14ac:dyDescent="0.2">
      <c r="A141" t="s">
        <v>4</v>
      </c>
      <c r="B141" s="5">
        <v>4.5999999999999996</v>
      </c>
    </row>
    <row r="142" spans="1:2" x14ac:dyDescent="0.2">
      <c r="A142" t="s">
        <v>5</v>
      </c>
      <c r="B142" s="5" t="s">
        <v>216</v>
      </c>
    </row>
    <row r="143" spans="1:2" x14ac:dyDescent="0.2">
      <c r="A143" t="s">
        <v>7</v>
      </c>
      <c r="B143" s="5" t="s">
        <v>217</v>
      </c>
    </row>
    <row r="144" spans="1:2" x14ac:dyDescent="0.2">
      <c r="A144" t="s">
        <v>9</v>
      </c>
      <c r="B144" s="5" t="s">
        <v>218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219</v>
      </c>
    </row>
    <row r="148" spans="1:2" x14ac:dyDescent="0.2">
      <c r="A148" t="s">
        <v>3</v>
      </c>
      <c r="B148" s="5">
        <v>6576</v>
      </c>
    </row>
    <row r="149" spans="1:2" x14ac:dyDescent="0.2">
      <c r="A149" t="s">
        <v>4</v>
      </c>
      <c r="B149" s="5">
        <v>4.7</v>
      </c>
    </row>
    <row r="150" spans="1:2" x14ac:dyDescent="0.2">
      <c r="A150" t="s">
        <v>5</v>
      </c>
      <c r="B150" s="5" t="s">
        <v>220</v>
      </c>
    </row>
    <row r="151" spans="1:2" x14ac:dyDescent="0.2">
      <c r="A151" t="s">
        <v>7</v>
      </c>
      <c r="B151" s="5" t="s">
        <v>217</v>
      </c>
    </row>
    <row r="152" spans="1:2" x14ac:dyDescent="0.2">
      <c r="A152" t="s">
        <v>9</v>
      </c>
      <c r="B152" s="5" t="s">
        <v>221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222</v>
      </c>
    </row>
    <row r="156" spans="1:2" x14ac:dyDescent="0.2">
      <c r="A156" t="s">
        <v>3</v>
      </c>
      <c r="B156" s="5">
        <v>6569</v>
      </c>
    </row>
    <row r="157" spans="1:2" x14ac:dyDescent="0.2">
      <c r="A157" t="s">
        <v>4</v>
      </c>
      <c r="B157" s="5">
        <v>4.3</v>
      </c>
    </row>
    <row r="158" spans="1:2" x14ac:dyDescent="0.2">
      <c r="A158" t="s">
        <v>5</v>
      </c>
      <c r="B158" s="5" t="s">
        <v>111</v>
      </c>
    </row>
    <row r="159" spans="1:2" x14ac:dyDescent="0.2">
      <c r="A159" t="s">
        <v>7</v>
      </c>
      <c r="B159" s="5" t="s">
        <v>81</v>
      </c>
    </row>
    <row r="160" spans="1:2" x14ac:dyDescent="0.2">
      <c r="A160" t="s">
        <v>9</v>
      </c>
      <c r="B160" s="5" t="s">
        <v>223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64</v>
      </c>
    </row>
    <row r="164" spans="1:2" x14ac:dyDescent="0.2">
      <c r="A164" t="s">
        <v>3</v>
      </c>
      <c r="B164" s="5">
        <v>6531</v>
      </c>
    </row>
    <row r="165" spans="1:2" x14ac:dyDescent="0.2">
      <c r="A165" t="s">
        <v>4</v>
      </c>
      <c r="B165" s="5">
        <v>4.5999999999999996</v>
      </c>
    </row>
    <row r="166" spans="1:2" x14ac:dyDescent="0.2">
      <c r="A166" t="s">
        <v>5</v>
      </c>
      <c r="B166" s="5" t="s">
        <v>224</v>
      </c>
    </row>
    <row r="167" spans="1:2" x14ac:dyDescent="0.2">
      <c r="A167" t="s">
        <v>7</v>
      </c>
      <c r="B167" s="5" t="s">
        <v>225</v>
      </c>
    </row>
    <row r="168" spans="1:2" x14ac:dyDescent="0.2">
      <c r="A168" t="s">
        <v>9</v>
      </c>
      <c r="B168" s="5" t="s">
        <v>66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226</v>
      </c>
    </row>
    <row r="172" spans="1:2" x14ac:dyDescent="0.2">
      <c r="A172" t="s">
        <v>3</v>
      </c>
      <c r="B172" s="5">
        <v>6508</v>
      </c>
    </row>
    <row r="173" spans="1:2" x14ac:dyDescent="0.2">
      <c r="A173" t="s">
        <v>4</v>
      </c>
      <c r="B173" s="5">
        <v>4.8</v>
      </c>
    </row>
    <row r="174" spans="1:2" x14ac:dyDescent="0.2">
      <c r="A174" t="s">
        <v>5</v>
      </c>
      <c r="B174" s="5" t="s">
        <v>227</v>
      </c>
    </row>
    <row r="175" spans="1:2" x14ac:dyDescent="0.2">
      <c r="A175" t="s">
        <v>7</v>
      </c>
      <c r="B175" s="5" t="s">
        <v>52</v>
      </c>
    </row>
    <row r="176" spans="1:2" x14ac:dyDescent="0.2">
      <c r="A176" t="s">
        <v>9</v>
      </c>
      <c r="B176" s="5" t="s">
        <v>228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229</v>
      </c>
    </row>
    <row r="180" spans="1:2" x14ac:dyDescent="0.2">
      <c r="A180" t="s">
        <v>3</v>
      </c>
      <c r="B180" s="5">
        <v>6408</v>
      </c>
    </row>
    <row r="181" spans="1:2" x14ac:dyDescent="0.2">
      <c r="A181" t="s">
        <v>4</v>
      </c>
      <c r="B181" s="5">
        <v>4.8</v>
      </c>
    </row>
    <row r="182" spans="1:2" x14ac:dyDescent="0.2">
      <c r="A182" t="s">
        <v>5</v>
      </c>
      <c r="B182" s="5" t="s">
        <v>76</v>
      </c>
    </row>
    <row r="183" spans="1:2" x14ac:dyDescent="0.2">
      <c r="A183" t="s">
        <v>7</v>
      </c>
      <c r="B183" s="5" t="s">
        <v>125</v>
      </c>
    </row>
    <row r="184" spans="1:2" x14ac:dyDescent="0.2">
      <c r="A184" t="s">
        <v>9</v>
      </c>
      <c r="B184" s="5" t="s">
        <v>230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231</v>
      </c>
    </row>
    <row r="188" spans="1:2" x14ac:dyDescent="0.2">
      <c r="A188" t="s">
        <v>3</v>
      </c>
      <c r="B188" s="5">
        <v>6019</v>
      </c>
    </row>
    <row r="189" spans="1:2" x14ac:dyDescent="0.2">
      <c r="A189" t="s">
        <v>4</v>
      </c>
      <c r="B189" s="5">
        <v>4.7</v>
      </c>
    </row>
    <row r="190" spans="1:2" x14ac:dyDescent="0.2">
      <c r="A190" t="s">
        <v>5</v>
      </c>
      <c r="B190" s="5" t="s">
        <v>232</v>
      </c>
    </row>
    <row r="191" spans="1:2" x14ac:dyDescent="0.2">
      <c r="A191" t="s">
        <v>7</v>
      </c>
      <c r="B191" s="5" t="s">
        <v>73</v>
      </c>
    </row>
    <row r="192" spans="1:2" x14ac:dyDescent="0.2">
      <c r="A192" t="s">
        <v>9</v>
      </c>
      <c r="B192" s="5" t="s">
        <v>233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234</v>
      </c>
    </row>
    <row r="196" spans="1:2" x14ac:dyDescent="0.2">
      <c r="A196" t="s">
        <v>3</v>
      </c>
      <c r="B196" s="5">
        <v>5671</v>
      </c>
    </row>
    <row r="197" spans="1:2" x14ac:dyDescent="0.2">
      <c r="A197" t="s">
        <v>4</v>
      </c>
      <c r="B197" s="5">
        <v>4.8</v>
      </c>
    </row>
    <row r="198" spans="1:2" x14ac:dyDescent="0.2">
      <c r="A198" t="s">
        <v>5</v>
      </c>
      <c r="B198" s="5" t="s">
        <v>235</v>
      </c>
    </row>
    <row r="199" spans="1:2" x14ac:dyDescent="0.2">
      <c r="A199" t="s">
        <v>7</v>
      </c>
      <c r="B199" s="5" t="s">
        <v>77</v>
      </c>
    </row>
    <row r="200" spans="1:2" x14ac:dyDescent="0.2">
      <c r="A200" t="s">
        <v>9</v>
      </c>
      <c r="B200" s="5" t="s">
        <v>236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107</v>
      </c>
    </row>
    <row r="204" spans="1:2" x14ac:dyDescent="0.2">
      <c r="A204" t="s">
        <v>3</v>
      </c>
      <c r="B204" s="5">
        <v>5612</v>
      </c>
    </row>
    <row r="205" spans="1:2" x14ac:dyDescent="0.2">
      <c r="A205" t="s">
        <v>4</v>
      </c>
      <c r="B205" s="5">
        <v>4.8</v>
      </c>
    </row>
    <row r="206" spans="1:2" x14ac:dyDescent="0.2">
      <c r="A206" t="s">
        <v>5</v>
      </c>
      <c r="B206" s="5" t="s">
        <v>237</v>
      </c>
    </row>
    <row r="207" spans="1:2" x14ac:dyDescent="0.2">
      <c r="A207" t="s">
        <v>7</v>
      </c>
      <c r="B207" s="5" t="s">
        <v>200</v>
      </c>
    </row>
    <row r="208" spans="1:2" x14ac:dyDescent="0.2">
      <c r="A208" t="s">
        <v>9</v>
      </c>
      <c r="B208" s="5" t="s">
        <v>109</v>
      </c>
    </row>
    <row r="210" spans="1:3" x14ac:dyDescent="0.2">
      <c r="A210" t="s">
        <v>0</v>
      </c>
      <c r="B210" s="5">
        <v>27</v>
      </c>
    </row>
    <row r="211" spans="1:3" x14ac:dyDescent="0.2">
      <c r="A211" t="s">
        <v>1</v>
      </c>
      <c r="B211" s="5" t="s">
        <v>238</v>
      </c>
      <c r="C211" t="s">
        <v>239</v>
      </c>
    </row>
    <row r="212" spans="1:3" x14ac:dyDescent="0.2">
      <c r="A212" t="s">
        <v>3</v>
      </c>
      <c r="B212" s="5">
        <v>5575</v>
      </c>
    </row>
    <row r="213" spans="1:3" x14ac:dyDescent="0.2">
      <c r="A213" t="s">
        <v>4</v>
      </c>
      <c r="B213" s="5">
        <v>4.8</v>
      </c>
    </row>
    <row r="214" spans="1:3" x14ac:dyDescent="0.2">
      <c r="A214" t="s">
        <v>5</v>
      </c>
      <c r="B214" s="5" t="s">
        <v>240</v>
      </c>
    </row>
    <row r="215" spans="1:3" x14ac:dyDescent="0.2">
      <c r="A215" t="s">
        <v>7</v>
      </c>
      <c r="B215" s="5" t="s">
        <v>112</v>
      </c>
    </row>
    <row r="216" spans="1:3" x14ac:dyDescent="0.2">
      <c r="A216" t="s">
        <v>9</v>
      </c>
      <c r="B216" s="5" t="s">
        <v>241</v>
      </c>
    </row>
    <row r="218" spans="1:3" x14ac:dyDescent="0.2">
      <c r="A218" t="s">
        <v>0</v>
      </c>
      <c r="B218" s="5">
        <v>28</v>
      </c>
    </row>
    <row r="219" spans="1:3" x14ac:dyDescent="0.2">
      <c r="A219" t="s">
        <v>1</v>
      </c>
      <c r="B219" s="5" t="s">
        <v>242</v>
      </c>
    </row>
    <row r="220" spans="1:3" x14ac:dyDescent="0.2">
      <c r="A220" t="s">
        <v>3</v>
      </c>
      <c r="B220" s="5">
        <v>5534</v>
      </c>
    </row>
    <row r="221" spans="1:3" x14ac:dyDescent="0.2">
      <c r="A221" t="s">
        <v>4</v>
      </c>
      <c r="B221" s="5">
        <v>4.8</v>
      </c>
    </row>
    <row r="222" spans="1:3" x14ac:dyDescent="0.2">
      <c r="A222" t="s">
        <v>5</v>
      </c>
      <c r="B222" s="5" t="s">
        <v>243</v>
      </c>
    </row>
    <row r="223" spans="1:3" x14ac:dyDescent="0.2">
      <c r="A223" t="s">
        <v>7</v>
      </c>
      <c r="B223" s="5" t="s">
        <v>244</v>
      </c>
    </row>
    <row r="224" spans="1:3" x14ac:dyDescent="0.2">
      <c r="A224" t="s">
        <v>9</v>
      </c>
      <c r="B224" s="5" t="s">
        <v>245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246</v>
      </c>
    </row>
    <row r="228" spans="1:2" x14ac:dyDescent="0.2">
      <c r="A228" t="s">
        <v>3</v>
      </c>
      <c r="B228" s="5">
        <v>5428</v>
      </c>
    </row>
    <row r="229" spans="1:2" x14ac:dyDescent="0.2">
      <c r="A229" t="s">
        <v>4</v>
      </c>
      <c r="B229" s="5">
        <v>4.5</v>
      </c>
    </row>
    <row r="230" spans="1:2" x14ac:dyDescent="0.2">
      <c r="A230" t="s">
        <v>5</v>
      </c>
      <c r="B230" s="5" t="s">
        <v>247</v>
      </c>
    </row>
    <row r="231" spans="1:2" x14ac:dyDescent="0.2">
      <c r="A231" t="s">
        <v>7</v>
      </c>
      <c r="B231" s="5" t="s">
        <v>13</v>
      </c>
    </row>
    <row r="232" spans="1:2" x14ac:dyDescent="0.2">
      <c r="A232" t="s">
        <v>9</v>
      </c>
      <c r="B232" s="5" t="s">
        <v>248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249</v>
      </c>
    </row>
    <row r="236" spans="1:2" x14ac:dyDescent="0.2">
      <c r="A236" t="s">
        <v>3</v>
      </c>
      <c r="B236" s="5">
        <v>5323</v>
      </c>
    </row>
    <row r="237" spans="1:2" x14ac:dyDescent="0.2">
      <c r="A237" t="s">
        <v>4</v>
      </c>
      <c r="B237" s="5">
        <v>4.5</v>
      </c>
    </row>
    <row r="238" spans="1:2" x14ac:dyDescent="0.2">
      <c r="A238" t="s">
        <v>5</v>
      </c>
      <c r="B238" s="5" t="s">
        <v>232</v>
      </c>
    </row>
    <row r="239" spans="1:2" x14ac:dyDescent="0.2">
      <c r="A239" t="s">
        <v>7</v>
      </c>
      <c r="B239" s="5" t="s">
        <v>73</v>
      </c>
    </row>
    <row r="240" spans="1:2" x14ac:dyDescent="0.2">
      <c r="A240" t="s">
        <v>9</v>
      </c>
      <c r="B240" s="5" t="s">
        <v>250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251</v>
      </c>
    </row>
    <row r="244" spans="1:2" x14ac:dyDescent="0.2">
      <c r="A244" t="s">
        <v>3</v>
      </c>
      <c r="B244" s="5">
        <v>5301</v>
      </c>
    </row>
    <row r="245" spans="1:2" x14ac:dyDescent="0.2">
      <c r="A245" t="s">
        <v>4</v>
      </c>
      <c r="B245" s="5">
        <v>4.5999999999999996</v>
      </c>
    </row>
    <row r="246" spans="1:2" x14ac:dyDescent="0.2">
      <c r="A246" t="s">
        <v>5</v>
      </c>
      <c r="B246" s="5" t="s">
        <v>197</v>
      </c>
    </row>
    <row r="247" spans="1:2" x14ac:dyDescent="0.2">
      <c r="A247" t="s">
        <v>7</v>
      </c>
      <c r="B247" s="5" t="s">
        <v>25</v>
      </c>
    </row>
    <row r="248" spans="1:2" x14ac:dyDescent="0.2">
      <c r="A248" t="s">
        <v>9</v>
      </c>
      <c r="B248" s="5" t="s">
        <v>252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253</v>
      </c>
    </row>
    <row r="252" spans="1:2" x14ac:dyDescent="0.2">
      <c r="A252" t="s">
        <v>3</v>
      </c>
      <c r="B252" s="5">
        <v>5297</v>
      </c>
    </row>
    <row r="253" spans="1:2" x14ac:dyDescent="0.2">
      <c r="A253" t="s">
        <v>4</v>
      </c>
      <c r="B253" s="5">
        <v>4.8</v>
      </c>
    </row>
    <row r="254" spans="1:2" x14ac:dyDescent="0.2">
      <c r="A254" t="s">
        <v>5</v>
      </c>
      <c r="B254" s="5" t="s">
        <v>254</v>
      </c>
    </row>
    <row r="255" spans="1:2" x14ac:dyDescent="0.2">
      <c r="A255" t="s">
        <v>7</v>
      </c>
      <c r="B255" s="5" t="s">
        <v>255</v>
      </c>
    </row>
    <row r="256" spans="1:2" x14ac:dyDescent="0.2">
      <c r="A256" t="s">
        <v>9</v>
      </c>
      <c r="B256" s="5" t="s">
        <v>256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257</v>
      </c>
    </row>
    <row r="260" spans="1:2" x14ac:dyDescent="0.2">
      <c r="A260" t="s">
        <v>3</v>
      </c>
      <c r="B260" s="5">
        <v>5257</v>
      </c>
    </row>
    <row r="261" spans="1:2" x14ac:dyDescent="0.2">
      <c r="A261" t="s">
        <v>4</v>
      </c>
      <c r="B261" s="5">
        <v>4.5</v>
      </c>
    </row>
    <row r="262" spans="1:2" x14ac:dyDescent="0.2">
      <c r="A262" t="s">
        <v>5</v>
      </c>
      <c r="B262" s="5" t="s">
        <v>258</v>
      </c>
    </row>
    <row r="263" spans="1:2" x14ac:dyDescent="0.2">
      <c r="A263" t="s">
        <v>7</v>
      </c>
      <c r="B263" s="5" t="s">
        <v>29</v>
      </c>
    </row>
    <row r="264" spans="1:2" x14ac:dyDescent="0.2">
      <c r="A264" t="s">
        <v>9</v>
      </c>
      <c r="B264" s="5" t="s">
        <v>259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141</v>
      </c>
    </row>
    <row r="268" spans="1:2" x14ac:dyDescent="0.2">
      <c r="A268" t="s">
        <v>3</v>
      </c>
      <c r="B268" s="5">
        <v>5236</v>
      </c>
    </row>
    <row r="269" spans="1:2" x14ac:dyDescent="0.2">
      <c r="A269" t="s">
        <v>4</v>
      </c>
      <c r="B269" s="5">
        <v>4.8</v>
      </c>
    </row>
    <row r="270" spans="1:2" x14ac:dyDescent="0.2">
      <c r="A270" t="s">
        <v>5</v>
      </c>
      <c r="B270" s="5" t="s">
        <v>260</v>
      </c>
    </row>
    <row r="271" spans="1:2" x14ac:dyDescent="0.2">
      <c r="A271" t="s">
        <v>7</v>
      </c>
      <c r="B271" s="5" t="s">
        <v>261</v>
      </c>
    </row>
    <row r="272" spans="1:2" x14ac:dyDescent="0.2">
      <c r="A272" t="s">
        <v>9</v>
      </c>
      <c r="B272" s="5" t="s">
        <v>144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262</v>
      </c>
    </row>
    <row r="276" spans="1:2" x14ac:dyDescent="0.2">
      <c r="A276" t="s">
        <v>3</v>
      </c>
      <c r="B276" s="5">
        <v>5228</v>
      </c>
    </row>
    <row r="277" spans="1:2" x14ac:dyDescent="0.2">
      <c r="A277" t="s">
        <v>4</v>
      </c>
      <c r="B277" s="5">
        <v>4.7</v>
      </c>
    </row>
    <row r="278" spans="1:2" x14ac:dyDescent="0.2">
      <c r="A278" t="s">
        <v>5</v>
      </c>
      <c r="B278" s="5" t="s">
        <v>190</v>
      </c>
    </row>
    <row r="279" spans="1:2" x14ac:dyDescent="0.2">
      <c r="A279" t="s">
        <v>7</v>
      </c>
      <c r="B279" s="5" t="s">
        <v>112</v>
      </c>
    </row>
    <row r="280" spans="1:2" x14ac:dyDescent="0.2">
      <c r="A280" t="s">
        <v>9</v>
      </c>
      <c r="B280" s="5" t="s">
        <v>263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264</v>
      </c>
    </row>
    <row r="284" spans="1:2" x14ac:dyDescent="0.2">
      <c r="A284" t="s">
        <v>3</v>
      </c>
      <c r="B284" s="5">
        <v>5208</v>
      </c>
    </row>
    <row r="285" spans="1:2" x14ac:dyDescent="0.2">
      <c r="A285" t="s">
        <v>4</v>
      </c>
      <c r="B285" s="5">
        <v>4.8</v>
      </c>
    </row>
    <row r="286" spans="1:2" x14ac:dyDescent="0.2">
      <c r="A286" t="s">
        <v>5</v>
      </c>
      <c r="B286" s="5" t="s">
        <v>265</v>
      </c>
    </row>
    <row r="287" spans="1:2" x14ac:dyDescent="0.2">
      <c r="A287" t="s">
        <v>7</v>
      </c>
      <c r="B287" s="5" t="s">
        <v>13</v>
      </c>
    </row>
    <row r="288" spans="1:2" x14ac:dyDescent="0.2">
      <c r="A288" t="s">
        <v>9</v>
      </c>
      <c r="B288" s="5" t="s">
        <v>266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267</v>
      </c>
    </row>
    <row r="292" spans="1:2" x14ac:dyDescent="0.2">
      <c r="A292" t="s">
        <v>3</v>
      </c>
      <c r="B292" s="5">
        <v>5158</v>
      </c>
    </row>
    <row r="293" spans="1:2" x14ac:dyDescent="0.2">
      <c r="A293" t="s">
        <v>4</v>
      </c>
      <c r="B293" s="5">
        <v>4.5</v>
      </c>
    </row>
    <row r="294" spans="1:2" x14ac:dyDescent="0.2">
      <c r="A294" t="s">
        <v>5</v>
      </c>
      <c r="B294" s="5" t="s">
        <v>240</v>
      </c>
    </row>
    <row r="295" spans="1:2" x14ac:dyDescent="0.2">
      <c r="A295" t="s">
        <v>7</v>
      </c>
      <c r="B295" s="5" t="s">
        <v>29</v>
      </c>
    </row>
    <row r="296" spans="1:2" x14ac:dyDescent="0.2">
      <c r="A296" t="s">
        <v>9</v>
      </c>
      <c r="B296" s="5" t="s">
        <v>268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269</v>
      </c>
    </row>
    <row r="300" spans="1:2" x14ac:dyDescent="0.2">
      <c r="A300" t="s">
        <v>3</v>
      </c>
      <c r="B300" s="5">
        <v>5096</v>
      </c>
    </row>
    <row r="301" spans="1:2" x14ac:dyDescent="0.2">
      <c r="A301" t="s">
        <v>4</v>
      </c>
      <c r="B301" s="5">
        <v>4.8</v>
      </c>
    </row>
    <row r="302" spans="1:2" x14ac:dyDescent="0.2">
      <c r="A302" t="s">
        <v>5</v>
      </c>
      <c r="B302" s="5" t="s">
        <v>270</v>
      </c>
    </row>
    <row r="303" spans="1:2" x14ac:dyDescent="0.2">
      <c r="A303" t="s">
        <v>7</v>
      </c>
      <c r="B303" s="5" t="s">
        <v>271</v>
      </c>
    </row>
    <row r="304" spans="1:2" x14ac:dyDescent="0.2">
      <c r="A304" t="s">
        <v>9</v>
      </c>
      <c r="B304" s="5" t="s">
        <v>272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273</v>
      </c>
    </row>
    <row r="308" spans="1:2" x14ac:dyDescent="0.2">
      <c r="A308" t="s">
        <v>3</v>
      </c>
      <c r="B308" s="5">
        <v>4974</v>
      </c>
    </row>
    <row r="309" spans="1:2" x14ac:dyDescent="0.2">
      <c r="A309" t="s">
        <v>4</v>
      </c>
      <c r="B309" s="5">
        <v>4.4000000000000004</v>
      </c>
    </row>
    <row r="310" spans="1:2" x14ac:dyDescent="0.2">
      <c r="A310" t="s">
        <v>5</v>
      </c>
      <c r="B310" s="5" t="s">
        <v>274</v>
      </c>
    </row>
    <row r="311" spans="1:2" x14ac:dyDescent="0.2">
      <c r="A311" t="s">
        <v>7</v>
      </c>
      <c r="B311" s="5" t="s">
        <v>275</v>
      </c>
    </row>
    <row r="312" spans="1:2" x14ac:dyDescent="0.2">
      <c r="A312" t="s">
        <v>9</v>
      </c>
      <c r="B312" s="5" t="s">
        <v>276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277</v>
      </c>
    </row>
    <row r="316" spans="1:2" x14ac:dyDescent="0.2">
      <c r="A316" t="s">
        <v>3</v>
      </c>
      <c r="B316" s="5">
        <v>4935</v>
      </c>
    </row>
    <row r="317" spans="1:2" x14ac:dyDescent="0.2">
      <c r="A317" t="s">
        <v>4</v>
      </c>
      <c r="B317" s="5">
        <v>4.4000000000000004</v>
      </c>
    </row>
    <row r="318" spans="1:2" x14ac:dyDescent="0.2">
      <c r="A318" t="s">
        <v>5</v>
      </c>
      <c r="B318" s="5" t="s">
        <v>278</v>
      </c>
    </row>
    <row r="319" spans="1:2" x14ac:dyDescent="0.2">
      <c r="A319" t="s">
        <v>7</v>
      </c>
      <c r="B319" s="5" t="s">
        <v>279</v>
      </c>
    </row>
    <row r="320" spans="1:2" x14ac:dyDescent="0.2">
      <c r="A320" t="s">
        <v>9</v>
      </c>
      <c r="B320" s="5" t="s">
        <v>280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1B7ED-2086-4D1E-8A47-2E1BE892A8C5}">
  <sheetPr codeName="Sheet5">
    <tabColor rgb="FF00B0F0"/>
  </sheetPr>
  <dimension ref="A1:B319"/>
  <sheetViews>
    <sheetView topLeftCell="A304" zoomScaleNormal="100" workbookViewId="0">
      <selection activeCell="J16" sqref="J16"/>
    </sheetView>
  </sheetViews>
  <sheetFormatPr defaultRowHeight="14.25" x14ac:dyDescent="0.2"/>
  <cols>
    <col min="1" max="1" width="9" bestFit="1" customWidth="1"/>
    <col min="2" max="2" width="7.125" style="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2" ht="15" thickBot="1" x14ac:dyDescent="0.25">
      <c r="A1" s="10" t="str">
        <f>HYPERLINK(INDEX(获取工作表名,1)&amp;"!A"&amp;MATCH("紫薇路店",汇总!B:B,0),"紫薇路店")</f>
        <v>紫薇路店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281</v>
      </c>
    </row>
    <row r="4" spans="1:2" x14ac:dyDescent="0.2">
      <c r="A4" t="s">
        <v>3</v>
      </c>
      <c r="B4" s="5">
        <v>10232</v>
      </c>
    </row>
    <row r="5" spans="1:2" x14ac:dyDescent="0.2">
      <c r="A5" t="s">
        <v>4</v>
      </c>
      <c r="B5" s="5">
        <v>4.8</v>
      </c>
    </row>
    <row r="6" spans="1:2" x14ac:dyDescent="0.2">
      <c r="A6" t="s">
        <v>5</v>
      </c>
      <c r="B6" s="5" t="s">
        <v>282</v>
      </c>
    </row>
    <row r="7" spans="1:2" x14ac:dyDescent="0.2">
      <c r="A7" t="s">
        <v>7</v>
      </c>
      <c r="B7" s="5" t="s">
        <v>81</v>
      </c>
    </row>
    <row r="8" spans="1:2" x14ac:dyDescent="0.2">
      <c r="A8" t="s">
        <v>9</v>
      </c>
      <c r="B8" s="5" t="s">
        <v>283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284</v>
      </c>
    </row>
    <row r="12" spans="1:2" x14ac:dyDescent="0.2">
      <c r="A12" t="s">
        <v>3</v>
      </c>
      <c r="B12" s="5">
        <v>8488</v>
      </c>
    </row>
    <row r="13" spans="1:2" x14ac:dyDescent="0.2">
      <c r="A13" t="s">
        <v>4</v>
      </c>
      <c r="B13" s="5">
        <v>4.8</v>
      </c>
    </row>
    <row r="14" spans="1:2" x14ac:dyDescent="0.2">
      <c r="A14" t="s">
        <v>5</v>
      </c>
      <c r="B14" s="5" t="s">
        <v>285</v>
      </c>
    </row>
    <row r="15" spans="1:2" x14ac:dyDescent="0.2">
      <c r="A15" t="s">
        <v>7</v>
      </c>
      <c r="B15" s="5" t="s">
        <v>286</v>
      </c>
    </row>
    <row r="16" spans="1:2" x14ac:dyDescent="0.2">
      <c r="A16" t="s">
        <v>9</v>
      </c>
      <c r="B16" s="5" t="s">
        <v>49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287</v>
      </c>
    </row>
    <row r="20" spans="1:2" x14ac:dyDescent="0.2">
      <c r="A20" t="s">
        <v>3</v>
      </c>
      <c r="B20" s="5">
        <v>8335</v>
      </c>
    </row>
    <row r="21" spans="1:2" x14ac:dyDescent="0.2">
      <c r="A21" t="s">
        <v>4</v>
      </c>
      <c r="B21" s="5">
        <v>4.8</v>
      </c>
    </row>
    <row r="22" spans="1:2" x14ac:dyDescent="0.2">
      <c r="A22" t="s">
        <v>5</v>
      </c>
      <c r="B22" s="5" t="s">
        <v>288</v>
      </c>
    </row>
    <row r="23" spans="1:2" x14ac:dyDescent="0.2">
      <c r="A23" t="s">
        <v>7</v>
      </c>
      <c r="B23" s="5" t="s">
        <v>52</v>
      </c>
    </row>
    <row r="24" spans="1:2" x14ac:dyDescent="0.2">
      <c r="A24" t="s">
        <v>9</v>
      </c>
      <c r="B24" s="5" t="s">
        <v>289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290</v>
      </c>
    </row>
    <row r="28" spans="1:2" x14ac:dyDescent="0.2">
      <c r="A28" t="s">
        <v>3</v>
      </c>
      <c r="B28" s="5">
        <v>7737</v>
      </c>
    </row>
    <row r="29" spans="1:2" x14ac:dyDescent="0.2">
      <c r="A29" t="s">
        <v>4</v>
      </c>
      <c r="B29" s="5">
        <v>4.7</v>
      </c>
    </row>
    <row r="30" spans="1:2" x14ac:dyDescent="0.2">
      <c r="A30" t="s">
        <v>5</v>
      </c>
      <c r="B30" s="5" t="s">
        <v>291</v>
      </c>
    </row>
    <row r="31" spans="1:2" x14ac:dyDescent="0.2">
      <c r="A31" t="s">
        <v>7</v>
      </c>
      <c r="B31" s="5" t="s">
        <v>89</v>
      </c>
    </row>
    <row r="32" spans="1:2" x14ac:dyDescent="0.2">
      <c r="A32" t="s">
        <v>9</v>
      </c>
      <c r="B32" s="5" t="s">
        <v>292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293</v>
      </c>
    </row>
    <row r="36" spans="1:2" x14ac:dyDescent="0.2">
      <c r="A36" t="s">
        <v>3</v>
      </c>
      <c r="B36" s="5">
        <v>7661</v>
      </c>
    </row>
    <row r="37" spans="1:2" x14ac:dyDescent="0.2">
      <c r="A37" t="s">
        <v>4</v>
      </c>
      <c r="B37" s="5">
        <v>4.7</v>
      </c>
    </row>
    <row r="38" spans="1:2" x14ac:dyDescent="0.2">
      <c r="A38" t="s">
        <v>5</v>
      </c>
      <c r="B38" s="5" t="s">
        <v>294</v>
      </c>
    </row>
    <row r="39" spans="1:2" x14ac:dyDescent="0.2">
      <c r="A39" t="s">
        <v>7</v>
      </c>
      <c r="B39" s="5" t="s">
        <v>244</v>
      </c>
    </row>
    <row r="40" spans="1:2" x14ac:dyDescent="0.2">
      <c r="A40" t="s">
        <v>9</v>
      </c>
      <c r="B40" s="5" t="s">
        <v>295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54</v>
      </c>
    </row>
    <row r="44" spans="1:2" x14ac:dyDescent="0.2">
      <c r="A44" t="s">
        <v>3</v>
      </c>
      <c r="B44" s="5">
        <v>7058</v>
      </c>
    </row>
    <row r="45" spans="1:2" x14ac:dyDescent="0.2">
      <c r="A45" t="s">
        <v>4</v>
      </c>
      <c r="B45" s="5">
        <v>4.8</v>
      </c>
    </row>
    <row r="46" spans="1:2" x14ac:dyDescent="0.2">
      <c r="A46" t="s">
        <v>5</v>
      </c>
      <c r="B46" s="5" t="s">
        <v>296</v>
      </c>
    </row>
    <row r="47" spans="1:2" x14ac:dyDescent="0.2">
      <c r="A47" t="s">
        <v>7</v>
      </c>
      <c r="B47" s="5" t="s">
        <v>56</v>
      </c>
    </row>
    <row r="48" spans="1:2" x14ac:dyDescent="0.2">
      <c r="A48" t="s">
        <v>9</v>
      </c>
      <c r="B48" s="5" t="s">
        <v>57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297</v>
      </c>
    </row>
    <row r="52" spans="1:2" x14ac:dyDescent="0.2">
      <c r="A52" t="s">
        <v>3</v>
      </c>
      <c r="B52" s="5">
        <v>6803</v>
      </c>
    </row>
    <row r="53" spans="1:2" x14ac:dyDescent="0.2">
      <c r="A53" t="s">
        <v>4</v>
      </c>
      <c r="B53" s="5">
        <v>4.5999999999999996</v>
      </c>
    </row>
    <row r="54" spans="1:2" x14ac:dyDescent="0.2">
      <c r="A54" t="s">
        <v>5</v>
      </c>
      <c r="B54" s="5" t="s">
        <v>298</v>
      </c>
    </row>
    <row r="55" spans="1:2" x14ac:dyDescent="0.2">
      <c r="A55" t="s">
        <v>7</v>
      </c>
      <c r="B55" s="5" t="s">
        <v>299</v>
      </c>
    </row>
    <row r="56" spans="1:2" x14ac:dyDescent="0.2">
      <c r="A56" t="s">
        <v>9</v>
      </c>
      <c r="B56" s="5" t="s">
        <v>106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300</v>
      </c>
    </row>
    <row r="60" spans="1:2" x14ac:dyDescent="0.2">
      <c r="A60" t="s">
        <v>3</v>
      </c>
      <c r="B60" s="5">
        <v>6256</v>
      </c>
    </row>
    <row r="61" spans="1:2" x14ac:dyDescent="0.2">
      <c r="A61" t="s">
        <v>4</v>
      </c>
      <c r="B61" s="5">
        <v>4.7</v>
      </c>
    </row>
    <row r="62" spans="1:2" x14ac:dyDescent="0.2">
      <c r="A62" t="s">
        <v>5</v>
      </c>
      <c r="B62" s="5" t="s">
        <v>301</v>
      </c>
    </row>
    <row r="63" spans="1:2" x14ac:dyDescent="0.2">
      <c r="A63" t="s">
        <v>7</v>
      </c>
      <c r="B63" s="5" t="s">
        <v>183</v>
      </c>
    </row>
    <row r="64" spans="1:2" x14ac:dyDescent="0.2">
      <c r="A64" t="s">
        <v>9</v>
      </c>
      <c r="B64" s="5" t="s">
        <v>100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302</v>
      </c>
    </row>
    <row r="68" spans="1:2" x14ac:dyDescent="0.2">
      <c r="A68" t="s">
        <v>3</v>
      </c>
      <c r="B68" s="5">
        <v>5946</v>
      </c>
    </row>
    <row r="69" spans="1:2" x14ac:dyDescent="0.2">
      <c r="A69" t="s">
        <v>4</v>
      </c>
      <c r="B69" s="5">
        <v>4.8</v>
      </c>
    </row>
    <row r="70" spans="1:2" x14ac:dyDescent="0.2">
      <c r="A70" t="s">
        <v>5</v>
      </c>
      <c r="B70" s="5" t="s">
        <v>303</v>
      </c>
    </row>
    <row r="71" spans="1:2" x14ac:dyDescent="0.2">
      <c r="A71" t="s">
        <v>7</v>
      </c>
      <c r="B71" s="5" t="s">
        <v>304</v>
      </c>
    </row>
    <row r="72" spans="1:2" x14ac:dyDescent="0.2">
      <c r="A72" t="s">
        <v>9</v>
      </c>
      <c r="B72" s="5" t="s">
        <v>144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305</v>
      </c>
    </row>
    <row r="76" spans="1:2" x14ac:dyDescent="0.2">
      <c r="A76" t="s">
        <v>3</v>
      </c>
      <c r="B76" s="5">
        <v>5906</v>
      </c>
    </row>
    <row r="77" spans="1:2" x14ac:dyDescent="0.2">
      <c r="A77" t="s">
        <v>4</v>
      </c>
      <c r="B77" s="5">
        <v>4.7</v>
      </c>
    </row>
    <row r="78" spans="1:2" x14ac:dyDescent="0.2">
      <c r="A78" t="s">
        <v>5</v>
      </c>
      <c r="B78" s="5" t="s">
        <v>179</v>
      </c>
    </row>
    <row r="79" spans="1:2" x14ac:dyDescent="0.2">
      <c r="A79" t="s">
        <v>7</v>
      </c>
      <c r="B79" s="5" t="s">
        <v>25</v>
      </c>
    </row>
    <row r="80" spans="1:2" x14ac:dyDescent="0.2">
      <c r="A80" t="s">
        <v>9</v>
      </c>
      <c r="B80" s="5" t="s">
        <v>306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307</v>
      </c>
    </row>
    <row r="84" spans="1:2" x14ac:dyDescent="0.2">
      <c r="A84" t="s">
        <v>3</v>
      </c>
      <c r="B84" s="5">
        <v>5877</v>
      </c>
    </row>
    <row r="85" spans="1:2" x14ac:dyDescent="0.2">
      <c r="A85" t="s">
        <v>4</v>
      </c>
      <c r="B85" s="5">
        <v>4.7</v>
      </c>
    </row>
    <row r="86" spans="1:2" x14ac:dyDescent="0.2">
      <c r="A86" t="s">
        <v>5</v>
      </c>
      <c r="B86" s="5" t="s">
        <v>308</v>
      </c>
    </row>
    <row r="87" spans="1:2" x14ac:dyDescent="0.2">
      <c r="A87" t="s">
        <v>7</v>
      </c>
      <c r="B87" s="5" t="s">
        <v>96</v>
      </c>
    </row>
    <row r="88" spans="1:2" x14ac:dyDescent="0.2">
      <c r="A88" t="s">
        <v>9</v>
      </c>
      <c r="B88" s="5" t="s">
        <v>309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310</v>
      </c>
    </row>
    <row r="92" spans="1:2" x14ac:dyDescent="0.2">
      <c r="A92" t="s">
        <v>3</v>
      </c>
      <c r="B92" s="5">
        <v>5803</v>
      </c>
    </row>
    <row r="93" spans="1:2" x14ac:dyDescent="0.2">
      <c r="A93" t="s">
        <v>4</v>
      </c>
      <c r="B93" s="5">
        <v>4.7</v>
      </c>
    </row>
    <row r="94" spans="1:2" x14ac:dyDescent="0.2">
      <c r="A94" t="s">
        <v>5</v>
      </c>
      <c r="B94" s="5" t="s">
        <v>311</v>
      </c>
    </row>
    <row r="95" spans="1:2" x14ac:dyDescent="0.2">
      <c r="A95" t="s">
        <v>7</v>
      </c>
      <c r="B95" s="5" t="s">
        <v>81</v>
      </c>
    </row>
    <row r="96" spans="1:2" x14ac:dyDescent="0.2">
      <c r="A96" t="s">
        <v>9</v>
      </c>
      <c r="B96" s="5" t="s">
        <v>312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313</v>
      </c>
    </row>
    <row r="100" spans="1:2" x14ac:dyDescent="0.2">
      <c r="A100" t="s">
        <v>3</v>
      </c>
      <c r="B100" s="5">
        <v>5519</v>
      </c>
    </row>
    <row r="101" spans="1:2" x14ac:dyDescent="0.2">
      <c r="A101" t="s">
        <v>4</v>
      </c>
      <c r="B101" s="5">
        <v>4.7</v>
      </c>
    </row>
    <row r="102" spans="1:2" x14ac:dyDescent="0.2">
      <c r="A102" t="s">
        <v>5</v>
      </c>
      <c r="B102" s="5" t="s">
        <v>314</v>
      </c>
    </row>
    <row r="103" spans="1:2" x14ac:dyDescent="0.2">
      <c r="A103" t="s">
        <v>7</v>
      </c>
      <c r="B103" s="5" t="s">
        <v>315</v>
      </c>
    </row>
    <row r="104" spans="1:2" x14ac:dyDescent="0.2">
      <c r="A104" t="s">
        <v>9</v>
      </c>
      <c r="B104" s="5" t="s">
        <v>316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317</v>
      </c>
    </row>
    <row r="108" spans="1:2" x14ac:dyDescent="0.2">
      <c r="A108" t="s">
        <v>3</v>
      </c>
      <c r="B108" s="5">
        <v>5374</v>
      </c>
    </row>
    <row r="109" spans="1:2" x14ac:dyDescent="0.2">
      <c r="A109" t="s">
        <v>4</v>
      </c>
      <c r="B109" s="5">
        <v>4.5999999999999996</v>
      </c>
    </row>
    <row r="110" spans="1:2" x14ac:dyDescent="0.2">
      <c r="A110" t="s">
        <v>5</v>
      </c>
      <c r="B110" s="5" t="s">
        <v>318</v>
      </c>
    </row>
    <row r="111" spans="1:2" x14ac:dyDescent="0.2">
      <c r="A111" t="s">
        <v>7</v>
      </c>
      <c r="B111" s="5" t="s">
        <v>96</v>
      </c>
    </row>
    <row r="112" spans="1:2" x14ac:dyDescent="0.2">
      <c r="A112" t="s">
        <v>9</v>
      </c>
      <c r="B112" s="5" t="s">
        <v>319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320</v>
      </c>
    </row>
    <row r="116" spans="1:2" x14ac:dyDescent="0.2">
      <c r="A116" t="s">
        <v>3</v>
      </c>
      <c r="B116" s="5">
        <v>5256</v>
      </c>
    </row>
    <row r="117" spans="1:2" x14ac:dyDescent="0.2">
      <c r="A117" t="s">
        <v>4</v>
      </c>
      <c r="B117" s="5">
        <v>4.8</v>
      </c>
    </row>
    <row r="118" spans="1:2" x14ac:dyDescent="0.2">
      <c r="A118" t="s">
        <v>5</v>
      </c>
      <c r="B118" s="5" t="s">
        <v>270</v>
      </c>
    </row>
    <row r="119" spans="1:2" x14ac:dyDescent="0.2">
      <c r="A119" t="s">
        <v>7</v>
      </c>
      <c r="B119" s="5" t="s">
        <v>21</v>
      </c>
    </row>
    <row r="120" spans="1:2" x14ac:dyDescent="0.2">
      <c r="A120" t="s">
        <v>9</v>
      </c>
      <c r="B120" s="5" t="s">
        <v>321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322</v>
      </c>
    </row>
    <row r="124" spans="1:2" x14ac:dyDescent="0.2">
      <c r="A124" t="s">
        <v>3</v>
      </c>
      <c r="B124" s="5">
        <v>5173</v>
      </c>
    </row>
    <row r="125" spans="1:2" x14ac:dyDescent="0.2">
      <c r="A125" t="s">
        <v>4</v>
      </c>
      <c r="B125" s="5">
        <v>4.5999999999999996</v>
      </c>
    </row>
    <row r="126" spans="1:2" x14ac:dyDescent="0.2">
      <c r="A126" t="s">
        <v>5</v>
      </c>
      <c r="B126" s="5" t="s">
        <v>323</v>
      </c>
    </row>
    <row r="127" spans="1:2" x14ac:dyDescent="0.2">
      <c r="A127" t="s">
        <v>7</v>
      </c>
      <c r="B127" s="5" t="s">
        <v>44</v>
      </c>
    </row>
    <row r="128" spans="1:2" x14ac:dyDescent="0.2">
      <c r="A128" t="s">
        <v>9</v>
      </c>
      <c r="B128" s="5" t="s">
        <v>324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325</v>
      </c>
    </row>
    <row r="132" spans="1:2" x14ac:dyDescent="0.2">
      <c r="A132" t="s">
        <v>3</v>
      </c>
      <c r="B132" s="5">
        <v>4899</v>
      </c>
    </row>
    <row r="133" spans="1:2" x14ac:dyDescent="0.2">
      <c r="A133" t="s">
        <v>4</v>
      </c>
      <c r="B133" s="5">
        <v>4.7</v>
      </c>
    </row>
    <row r="134" spans="1:2" x14ac:dyDescent="0.2">
      <c r="A134" t="s">
        <v>5</v>
      </c>
      <c r="B134" s="5" t="s">
        <v>326</v>
      </c>
    </row>
    <row r="135" spans="1:2" x14ac:dyDescent="0.2">
      <c r="A135" t="s">
        <v>7</v>
      </c>
      <c r="B135" s="5" t="s">
        <v>225</v>
      </c>
    </row>
    <row r="136" spans="1:2" x14ac:dyDescent="0.2">
      <c r="A136" t="s">
        <v>9</v>
      </c>
      <c r="B136" s="5" t="s">
        <v>327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328</v>
      </c>
    </row>
    <row r="140" spans="1:2" x14ac:dyDescent="0.2">
      <c r="A140" t="s">
        <v>3</v>
      </c>
      <c r="B140" s="5">
        <v>4544</v>
      </c>
    </row>
    <row r="141" spans="1:2" x14ac:dyDescent="0.2">
      <c r="A141" t="s">
        <v>4</v>
      </c>
      <c r="B141" s="5">
        <v>4.7</v>
      </c>
    </row>
    <row r="142" spans="1:2" x14ac:dyDescent="0.2">
      <c r="A142" t="s">
        <v>5</v>
      </c>
      <c r="B142" s="5" t="s">
        <v>329</v>
      </c>
    </row>
    <row r="143" spans="1:2" x14ac:dyDescent="0.2">
      <c r="A143" t="s">
        <v>7</v>
      </c>
      <c r="B143" s="5" t="s">
        <v>33</v>
      </c>
    </row>
    <row r="144" spans="1:2" x14ac:dyDescent="0.2">
      <c r="A144" t="s">
        <v>9</v>
      </c>
      <c r="B144" s="5" t="s">
        <v>330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331</v>
      </c>
    </row>
    <row r="148" spans="1:2" x14ac:dyDescent="0.2">
      <c r="A148" t="s">
        <v>3</v>
      </c>
      <c r="B148" s="5">
        <v>4543</v>
      </c>
    </row>
    <row r="149" spans="1:2" x14ac:dyDescent="0.2">
      <c r="A149" t="s">
        <v>4</v>
      </c>
      <c r="B149" s="5">
        <v>4.7</v>
      </c>
    </row>
    <row r="150" spans="1:2" x14ac:dyDescent="0.2">
      <c r="A150" t="s">
        <v>5</v>
      </c>
      <c r="B150" s="5" t="s">
        <v>332</v>
      </c>
    </row>
    <row r="151" spans="1:2" x14ac:dyDescent="0.2">
      <c r="A151" t="s">
        <v>7</v>
      </c>
      <c r="B151" s="5" t="s">
        <v>89</v>
      </c>
    </row>
    <row r="153" spans="1:2" x14ac:dyDescent="0.2">
      <c r="A153" t="s">
        <v>0</v>
      </c>
      <c r="B153" s="5">
        <v>20</v>
      </c>
    </row>
    <row r="154" spans="1:2" x14ac:dyDescent="0.2">
      <c r="A154" t="s">
        <v>1</v>
      </c>
      <c r="B154" s="5" t="s">
        <v>333</v>
      </c>
    </row>
    <row r="155" spans="1:2" x14ac:dyDescent="0.2">
      <c r="A155" t="s">
        <v>3</v>
      </c>
      <c r="B155" s="5">
        <v>4448</v>
      </c>
    </row>
    <row r="156" spans="1:2" x14ac:dyDescent="0.2">
      <c r="A156" t="s">
        <v>4</v>
      </c>
      <c r="B156" s="5">
        <v>4.5</v>
      </c>
    </row>
    <row r="157" spans="1:2" x14ac:dyDescent="0.2">
      <c r="A157" t="s">
        <v>5</v>
      </c>
      <c r="B157" s="5" t="s">
        <v>334</v>
      </c>
    </row>
    <row r="158" spans="1:2" x14ac:dyDescent="0.2">
      <c r="A158" t="s">
        <v>7</v>
      </c>
      <c r="B158" s="5" t="s">
        <v>217</v>
      </c>
    </row>
    <row r="159" spans="1:2" x14ac:dyDescent="0.2">
      <c r="A159" t="s">
        <v>9</v>
      </c>
      <c r="B159" s="5" t="s">
        <v>335</v>
      </c>
    </row>
    <row r="161" spans="1:2" x14ac:dyDescent="0.2">
      <c r="A161" t="s">
        <v>0</v>
      </c>
      <c r="B161" s="5">
        <v>21</v>
      </c>
    </row>
    <row r="162" spans="1:2" x14ac:dyDescent="0.2">
      <c r="A162" t="s">
        <v>1</v>
      </c>
      <c r="B162" s="5" t="s">
        <v>336</v>
      </c>
    </row>
    <row r="163" spans="1:2" x14ac:dyDescent="0.2">
      <c r="A163" t="s">
        <v>3</v>
      </c>
      <c r="B163" s="5">
        <v>4382</v>
      </c>
    </row>
    <row r="164" spans="1:2" x14ac:dyDescent="0.2">
      <c r="A164" t="s">
        <v>4</v>
      </c>
      <c r="B164" s="5">
        <v>4.4000000000000004</v>
      </c>
    </row>
    <row r="165" spans="1:2" x14ac:dyDescent="0.2">
      <c r="A165" t="s">
        <v>5</v>
      </c>
      <c r="B165" s="5" t="s">
        <v>334</v>
      </c>
    </row>
    <row r="166" spans="1:2" x14ac:dyDescent="0.2">
      <c r="A166" t="s">
        <v>7</v>
      </c>
      <c r="B166" s="5" t="s">
        <v>337</v>
      </c>
    </row>
    <row r="167" spans="1:2" x14ac:dyDescent="0.2">
      <c r="A167" t="s">
        <v>9</v>
      </c>
      <c r="B167" s="5" t="s">
        <v>338</v>
      </c>
    </row>
    <row r="169" spans="1:2" x14ac:dyDescent="0.2">
      <c r="A169" t="s">
        <v>0</v>
      </c>
      <c r="B169" s="5">
        <v>22</v>
      </c>
    </row>
    <row r="170" spans="1:2" x14ac:dyDescent="0.2">
      <c r="A170" t="s">
        <v>1</v>
      </c>
      <c r="B170" s="5" t="s">
        <v>339</v>
      </c>
    </row>
    <row r="171" spans="1:2" x14ac:dyDescent="0.2">
      <c r="A171" t="s">
        <v>3</v>
      </c>
      <c r="B171" s="5">
        <v>4373</v>
      </c>
    </row>
    <row r="172" spans="1:2" x14ac:dyDescent="0.2">
      <c r="A172" t="s">
        <v>4</v>
      </c>
      <c r="B172" s="5">
        <v>4.7</v>
      </c>
    </row>
    <row r="173" spans="1:2" x14ac:dyDescent="0.2">
      <c r="A173" t="s">
        <v>5</v>
      </c>
      <c r="B173" s="5" t="s">
        <v>340</v>
      </c>
    </row>
    <row r="174" spans="1:2" x14ac:dyDescent="0.2">
      <c r="A174" t="s">
        <v>7</v>
      </c>
      <c r="B174" s="5" t="s">
        <v>299</v>
      </c>
    </row>
    <row r="175" spans="1:2" x14ac:dyDescent="0.2">
      <c r="A175" t="s">
        <v>9</v>
      </c>
      <c r="B175" s="5" t="s">
        <v>341</v>
      </c>
    </row>
    <row r="177" spans="1:2" x14ac:dyDescent="0.2">
      <c r="A177" t="s">
        <v>0</v>
      </c>
      <c r="B177" s="5">
        <v>23</v>
      </c>
    </row>
    <row r="178" spans="1:2" x14ac:dyDescent="0.2">
      <c r="A178" t="s">
        <v>1</v>
      </c>
      <c r="B178" s="5" t="s">
        <v>342</v>
      </c>
    </row>
    <row r="179" spans="1:2" x14ac:dyDescent="0.2">
      <c r="A179" t="s">
        <v>3</v>
      </c>
      <c r="B179" s="5">
        <v>4354</v>
      </c>
    </row>
    <row r="180" spans="1:2" x14ac:dyDescent="0.2">
      <c r="A180" t="s">
        <v>4</v>
      </c>
      <c r="B180" s="5">
        <v>4.8</v>
      </c>
    </row>
    <row r="181" spans="1:2" x14ac:dyDescent="0.2">
      <c r="A181" t="s">
        <v>5</v>
      </c>
      <c r="B181" s="5" t="s">
        <v>343</v>
      </c>
    </row>
    <row r="182" spans="1:2" x14ac:dyDescent="0.2">
      <c r="A182" t="s">
        <v>7</v>
      </c>
      <c r="B182" s="5" t="s">
        <v>344</v>
      </c>
    </row>
    <row r="183" spans="1:2" x14ac:dyDescent="0.2">
      <c r="A183" t="s">
        <v>9</v>
      </c>
      <c r="B183" s="5" t="s">
        <v>345</v>
      </c>
    </row>
    <row r="185" spans="1:2" x14ac:dyDescent="0.2">
      <c r="A185" t="s">
        <v>0</v>
      </c>
      <c r="B185" s="5">
        <v>24</v>
      </c>
    </row>
    <row r="186" spans="1:2" x14ac:dyDescent="0.2">
      <c r="A186" t="s">
        <v>1</v>
      </c>
      <c r="B186" s="5" t="s">
        <v>346</v>
      </c>
    </row>
    <row r="187" spans="1:2" x14ac:dyDescent="0.2">
      <c r="A187" t="s">
        <v>3</v>
      </c>
      <c r="B187" s="5">
        <v>4297</v>
      </c>
    </row>
    <row r="188" spans="1:2" x14ac:dyDescent="0.2">
      <c r="A188" t="s">
        <v>4</v>
      </c>
      <c r="B188" s="5">
        <v>4.5999999999999996</v>
      </c>
    </row>
    <row r="189" spans="1:2" x14ac:dyDescent="0.2">
      <c r="A189" t="s">
        <v>5</v>
      </c>
      <c r="B189" s="5" t="s">
        <v>347</v>
      </c>
    </row>
    <row r="190" spans="1:2" x14ac:dyDescent="0.2">
      <c r="A190" t="s">
        <v>7</v>
      </c>
      <c r="B190" s="5" t="s">
        <v>286</v>
      </c>
    </row>
    <row r="191" spans="1:2" x14ac:dyDescent="0.2">
      <c r="A191" t="s">
        <v>9</v>
      </c>
      <c r="B191" s="5" t="s">
        <v>66</v>
      </c>
    </row>
    <row r="193" spans="1:2" x14ac:dyDescent="0.2">
      <c r="A193" t="s">
        <v>0</v>
      </c>
      <c r="B193" s="5">
        <v>25</v>
      </c>
    </row>
    <row r="194" spans="1:2" x14ac:dyDescent="0.2">
      <c r="A194" t="s">
        <v>1</v>
      </c>
      <c r="B194" s="5" t="s">
        <v>348</v>
      </c>
    </row>
    <row r="195" spans="1:2" x14ac:dyDescent="0.2">
      <c r="A195" t="s">
        <v>3</v>
      </c>
      <c r="B195" s="5">
        <v>4190</v>
      </c>
    </row>
    <row r="196" spans="1:2" x14ac:dyDescent="0.2">
      <c r="A196" t="s">
        <v>4</v>
      </c>
      <c r="B196" s="5">
        <v>4.8</v>
      </c>
    </row>
    <row r="197" spans="1:2" x14ac:dyDescent="0.2">
      <c r="A197" t="s">
        <v>5</v>
      </c>
      <c r="B197" s="5" t="s">
        <v>349</v>
      </c>
    </row>
    <row r="198" spans="1:2" x14ac:dyDescent="0.2">
      <c r="A198" t="s">
        <v>7</v>
      </c>
      <c r="B198" s="5" t="s">
        <v>299</v>
      </c>
    </row>
    <row r="199" spans="1:2" x14ac:dyDescent="0.2">
      <c r="A199" t="s">
        <v>9</v>
      </c>
      <c r="B199" s="5" t="s">
        <v>350</v>
      </c>
    </row>
    <row r="201" spans="1:2" x14ac:dyDescent="0.2">
      <c r="A201" t="s">
        <v>0</v>
      </c>
      <c r="B201" s="5">
        <v>26</v>
      </c>
    </row>
    <row r="202" spans="1:2" x14ac:dyDescent="0.2">
      <c r="A202" t="s">
        <v>1</v>
      </c>
      <c r="B202" s="5" t="s">
        <v>351</v>
      </c>
    </row>
    <row r="203" spans="1:2" x14ac:dyDescent="0.2">
      <c r="A203" t="s">
        <v>3</v>
      </c>
      <c r="B203" s="5">
        <v>4143</v>
      </c>
    </row>
    <row r="204" spans="1:2" x14ac:dyDescent="0.2">
      <c r="A204" t="s">
        <v>4</v>
      </c>
      <c r="B204" s="5">
        <v>4.7</v>
      </c>
    </row>
    <row r="205" spans="1:2" x14ac:dyDescent="0.2">
      <c r="A205" t="s">
        <v>5</v>
      </c>
      <c r="B205" s="5" t="s">
        <v>352</v>
      </c>
    </row>
    <row r="206" spans="1:2" x14ac:dyDescent="0.2">
      <c r="A206" t="s">
        <v>7</v>
      </c>
      <c r="B206" s="5" t="s">
        <v>17</v>
      </c>
    </row>
    <row r="207" spans="1:2" x14ac:dyDescent="0.2">
      <c r="A207" t="s">
        <v>9</v>
      </c>
      <c r="B207" s="5" t="s">
        <v>353</v>
      </c>
    </row>
    <row r="209" spans="1:2" x14ac:dyDescent="0.2">
      <c r="A209" t="s">
        <v>0</v>
      </c>
      <c r="B209" s="5">
        <v>27</v>
      </c>
    </row>
    <row r="210" spans="1:2" x14ac:dyDescent="0.2">
      <c r="A210" t="s">
        <v>1</v>
      </c>
      <c r="B210" s="5" t="s">
        <v>354</v>
      </c>
    </row>
    <row r="211" spans="1:2" x14ac:dyDescent="0.2">
      <c r="A211" t="s">
        <v>3</v>
      </c>
      <c r="B211" s="5">
        <v>4128</v>
      </c>
    </row>
    <row r="212" spans="1:2" x14ac:dyDescent="0.2">
      <c r="A212" t="s">
        <v>4</v>
      </c>
      <c r="B212" s="5">
        <v>4.7</v>
      </c>
    </row>
    <row r="213" spans="1:2" x14ac:dyDescent="0.2">
      <c r="A213" t="s">
        <v>5</v>
      </c>
      <c r="B213" s="5" t="s">
        <v>278</v>
      </c>
    </row>
    <row r="214" spans="1:2" x14ac:dyDescent="0.2">
      <c r="A214" t="s">
        <v>7</v>
      </c>
      <c r="B214" s="5" t="s">
        <v>29</v>
      </c>
    </row>
    <row r="215" spans="1:2" x14ac:dyDescent="0.2">
      <c r="A215" t="s">
        <v>9</v>
      </c>
      <c r="B215" s="5" t="s">
        <v>355</v>
      </c>
    </row>
    <row r="217" spans="1:2" x14ac:dyDescent="0.2">
      <c r="A217" t="s">
        <v>0</v>
      </c>
      <c r="B217" s="5">
        <v>28</v>
      </c>
    </row>
    <row r="218" spans="1:2" x14ac:dyDescent="0.2">
      <c r="A218" t="s">
        <v>1</v>
      </c>
      <c r="B218" s="5" t="s">
        <v>356</v>
      </c>
    </row>
    <row r="219" spans="1:2" x14ac:dyDescent="0.2">
      <c r="A219" t="s">
        <v>3</v>
      </c>
      <c r="B219" s="5">
        <v>4094</v>
      </c>
    </row>
    <row r="220" spans="1:2" x14ac:dyDescent="0.2">
      <c r="A220" t="s">
        <v>4</v>
      </c>
      <c r="B220" s="5">
        <v>4.8</v>
      </c>
    </row>
    <row r="221" spans="1:2" x14ac:dyDescent="0.2">
      <c r="A221" t="s">
        <v>5</v>
      </c>
      <c r="B221" s="5" t="s">
        <v>357</v>
      </c>
    </row>
    <row r="222" spans="1:2" x14ac:dyDescent="0.2">
      <c r="A222" t="s">
        <v>7</v>
      </c>
      <c r="B222" s="5" t="s">
        <v>271</v>
      </c>
    </row>
    <row r="223" spans="1:2" x14ac:dyDescent="0.2">
      <c r="A223" t="s">
        <v>9</v>
      </c>
      <c r="B223" s="5" t="s">
        <v>358</v>
      </c>
    </row>
    <row r="225" spans="1:2" x14ac:dyDescent="0.2">
      <c r="A225" t="s">
        <v>0</v>
      </c>
      <c r="B225" s="5">
        <v>29</v>
      </c>
    </row>
    <row r="226" spans="1:2" x14ac:dyDescent="0.2">
      <c r="A226" t="s">
        <v>1</v>
      </c>
      <c r="B226" s="5" t="s">
        <v>359</v>
      </c>
    </row>
    <row r="227" spans="1:2" x14ac:dyDescent="0.2">
      <c r="A227" t="s">
        <v>3</v>
      </c>
      <c r="B227" s="5">
        <v>3963</v>
      </c>
    </row>
    <row r="228" spans="1:2" x14ac:dyDescent="0.2">
      <c r="A228" t="s">
        <v>4</v>
      </c>
      <c r="B228" s="5">
        <v>4.7</v>
      </c>
    </row>
    <row r="229" spans="1:2" x14ac:dyDescent="0.2">
      <c r="A229" t="s">
        <v>5</v>
      </c>
      <c r="B229" s="5" t="s">
        <v>360</v>
      </c>
    </row>
    <row r="230" spans="1:2" x14ac:dyDescent="0.2">
      <c r="A230" t="s">
        <v>7</v>
      </c>
      <c r="B230" s="5" t="s">
        <v>89</v>
      </c>
    </row>
    <row r="231" spans="1:2" x14ac:dyDescent="0.2">
      <c r="A231" t="s">
        <v>9</v>
      </c>
      <c r="B231" s="5" t="s">
        <v>361</v>
      </c>
    </row>
    <row r="233" spans="1:2" x14ac:dyDescent="0.2">
      <c r="A233" t="s">
        <v>0</v>
      </c>
      <c r="B233" s="5">
        <v>30</v>
      </c>
    </row>
    <row r="234" spans="1:2" x14ac:dyDescent="0.2">
      <c r="A234" t="s">
        <v>1</v>
      </c>
      <c r="B234" s="5" t="s">
        <v>362</v>
      </c>
    </row>
    <row r="235" spans="1:2" x14ac:dyDescent="0.2">
      <c r="A235" t="s">
        <v>3</v>
      </c>
      <c r="B235" s="5">
        <v>3924</v>
      </c>
    </row>
    <row r="236" spans="1:2" x14ac:dyDescent="0.2">
      <c r="A236" t="s">
        <v>4</v>
      </c>
      <c r="B236" s="5">
        <v>4.8</v>
      </c>
    </row>
    <row r="237" spans="1:2" x14ac:dyDescent="0.2">
      <c r="A237" t="s">
        <v>5</v>
      </c>
      <c r="B237" s="5" t="s">
        <v>363</v>
      </c>
    </row>
    <row r="238" spans="1:2" x14ac:dyDescent="0.2">
      <c r="A238" t="s">
        <v>7</v>
      </c>
      <c r="B238" s="5" t="s">
        <v>119</v>
      </c>
    </row>
    <row r="239" spans="1:2" x14ac:dyDescent="0.2">
      <c r="A239" t="s">
        <v>9</v>
      </c>
      <c r="B239" s="5" t="s">
        <v>364</v>
      </c>
    </row>
    <row r="241" spans="1:2" x14ac:dyDescent="0.2">
      <c r="A241" t="s">
        <v>0</v>
      </c>
      <c r="B241" s="5">
        <v>31</v>
      </c>
    </row>
    <row r="242" spans="1:2" x14ac:dyDescent="0.2">
      <c r="A242" t="s">
        <v>1</v>
      </c>
      <c r="B242" s="5" t="s">
        <v>365</v>
      </c>
    </row>
    <row r="243" spans="1:2" x14ac:dyDescent="0.2">
      <c r="A243" t="s">
        <v>3</v>
      </c>
      <c r="B243" s="5">
        <v>3923</v>
      </c>
    </row>
    <row r="244" spans="1:2" x14ac:dyDescent="0.2">
      <c r="A244" t="s">
        <v>4</v>
      </c>
      <c r="B244" s="5">
        <v>4.8</v>
      </c>
    </row>
    <row r="245" spans="1:2" x14ac:dyDescent="0.2">
      <c r="A245" t="s">
        <v>5</v>
      </c>
      <c r="B245" s="5" t="s">
        <v>366</v>
      </c>
    </row>
    <row r="246" spans="1:2" x14ac:dyDescent="0.2">
      <c r="A246" t="s">
        <v>7</v>
      </c>
      <c r="B246" s="5" t="s">
        <v>271</v>
      </c>
    </row>
    <row r="247" spans="1:2" x14ac:dyDescent="0.2">
      <c r="A247" t="s">
        <v>9</v>
      </c>
      <c r="B247" s="5" t="s">
        <v>367</v>
      </c>
    </row>
    <row r="249" spans="1:2" x14ac:dyDescent="0.2">
      <c r="A249" t="s">
        <v>0</v>
      </c>
      <c r="B249" s="5">
        <v>32</v>
      </c>
    </row>
    <row r="250" spans="1:2" x14ac:dyDescent="0.2">
      <c r="A250" t="s">
        <v>1</v>
      </c>
      <c r="B250" s="5" t="s">
        <v>368</v>
      </c>
    </row>
    <row r="251" spans="1:2" x14ac:dyDescent="0.2">
      <c r="A251" t="s">
        <v>3</v>
      </c>
      <c r="B251" s="5">
        <v>3899</v>
      </c>
    </row>
    <row r="252" spans="1:2" x14ac:dyDescent="0.2">
      <c r="A252" t="s">
        <v>4</v>
      </c>
      <c r="B252" s="5">
        <v>4.7</v>
      </c>
    </row>
    <row r="253" spans="1:2" x14ac:dyDescent="0.2">
      <c r="A253" t="s">
        <v>5</v>
      </c>
      <c r="B253" s="5" t="s">
        <v>369</v>
      </c>
    </row>
    <row r="254" spans="1:2" x14ac:dyDescent="0.2">
      <c r="A254" t="s">
        <v>7</v>
      </c>
      <c r="B254" s="5" t="s">
        <v>25</v>
      </c>
    </row>
    <row r="255" spans="1:2" x14ac:dyDescent="0.2">
      <c r="A255" t="s">
        <v>9</v>
      </c>
      <c r="B255" s="5" t="s">
        <v>370</v>
      </c>
    </row>
    <row r="257" spans="1:2" x14ac:dyDescent="0.2">
      <c r="A257" t="s">
        <v>0</v>
      </c>
      <c r="B257" s="5">
        <v>33</v>
      </c>
    </row>
    <row r="258" spans="1:2" x14ac:dyDescent="0.2">
      <c r="A258" t="s">
        <v>1</v>
      </c>
      <c r="B258" s="5" t="s">
        <v>371</v>
      </c>
    </row>
    <row r="259" spans="1:2" x14ac:dyDescent="0.2">
      <c r="A259" t="s">
        <v>3</v>
      </c>
      <c r="B259" s="5">
        <v>3705</v>
      </c>
    </row>
    <row r="260" spans="1:2" x14ac:dyDescent="0.2">
      <c r="A260" t="s">
        <v>4</v>
      </c>
      <c r="B260" s="5">
        <v>4.7</v>
      </c>
    </row>
    <row r="261" spans="1:2" x14ac:dyDescent="0.2">
      <c r="A261" t="s">
        <v>5</v>
      </c>
      <c r="B261" s="5" t="s">
        <v>372</v>
      </c>
    </row>
    <row r="262" spans="1:2" x14ac:dyDescent="0.2">
      <c r="A262" t="s">
        <v>7</v>
      </c>
      <c r="B262" s="5" t="s">
        <v>183</v>
      </c>
    </row>
    <row r="263" spans="1:2" x14ac:dyDescent="0.2">
      <c r="A263" t="s">
        <v>9</v>
      </c>
      <c r="B263" s="5" t="s">
        <v>373</v>
      </c>
    </row>
    <row r="265" spans="1:2" x14ac:dyDescent="0.2">
      <c r="A265" t="s">
        <v>0</v>
      </c>
      <c r="B265" s="5">
        <v>34</v>
      </c>
    </row>
    <row r="266" spans="1:2" x14ac:dyDescent="0.2">
      <c r="A266" t="s">
        <v>1</v>
      </c>
      <c r="B266" s="5" t="s">
        <v>374</v>
      </c>
    </row>
    <row r="267" spans="1:2" x14ac:dyDescent="0.2">
      <c r="A267" t="s">
        <v>3</v>
      </c>
      <c r="B267" s="5">
        <v>3693</v>
      </c>
    </row>
    <row r="268" spans="1:2" x14ac:dyDescent="0.2">
      <c r="A268" t="s">
        <v>4</v>
      </c>
      <c r="B268" s="5">
        <v>4.8</v>
      </c>
    </row>
    <row r="269" spans="1:2" x14ac:dyDescent="0.2">
      <c r="A269" t="s">
        <v>5</v>
      </c>
      <c r="B269" s="5" t="s">
        <v>375</v>
      </c>
    </row>
    <row r="270" spans="1:2" x14ac:dyDescent="0.2">
      <c r="A270" t="s">
        <v>7</v>
      </c>
      <c r="B270" s="5" t="s">
        <v>206</v>
      </c>
    </row>
    <row r="271" spans="1:2" x14ac:dyDescent="0.2">
      <c r="A271" t="s">
        <v>9</v>
      </c>
      <c r="B271" s="5" t="s">
        <v>376</v>
      </c>
    </row>
    <row r="273" spans="1:2" x14ac:dyDescent="0.2">
      <c r="A273" t="s">
        <v>0</v>
      </c>
      <c r="B273" s="5">
        <v>35</v>
      </c>
    </row>
    <row r="274" spans="1:2" x14ac:dyDescent="0.2">
      <c r="A274" t="s">
        <v>1</v>
      </c>
      <c r="B274" s="5" t="s">
        <v>377</v>
      </c>
    </row>
    <row r="275" spans="1:2" x14ac:dyDescent="0.2">
      <c r="A275" t="s">
        <v>3</v>
      </c>
      <c r="B275" s="5">
        <v>3611</v>
      </c>
    </row>
    <row r="276" spans="1:2" x14ac:dyDescent="0.2">
      <c r="A276" t="s">
        <v>4</v>
      </c>
      <c r="B276" s="5">
        <v>4.8</v>
      </c>
    </row>
    <row r="277" spans="1:2" x14ac:dyDescent="0.2">
      <c r="A277" t="s">
        <v>5</v>
      </c>
      <c r="B277" s="5" t="s">
        <v>378</v>
      </c>
    </row>
    <row r="278" spans="1:2" x14ac:dyDescent="0.2">
      <c r="A278" t="s">
        <v>7</v>
      </c>
      <c r="B278" s="5" t="s">
        <v>379</v>
      </c>
    </row>
    <row r="279" spans="1:2" x14ac:dyDescent="0.2">
      <c r="A279" t="s">
        <v>9</v>
      </c>
      <c r="B279" s="5" t="s">
        <v>380</v>
      </c>
    </row>
    <row r="281" spans="1:2" x14ac:dyDescent="0.2">
      <c r="A281" t="s">
        <v>0</v>
      </c>
      <c r="B281" s="5">
        <v>36</v>
      </c>
    </row>
    <row r="282" spans="1:2" x14ac:dyDescent="0.2">
      <c r="A282" t="s">
        <v>1</v>
      </c>
      <c r="B282" s="5" t="s">
        <v>381</v>
      </c>
    </row>
    <row r="283" spans="1:2" x14ac:dyDescent="0.2">
      <c r="A283" t="s">
        <v>3</v>
      </c>
      <c r="B283" s="5">
        <v>3511</v>
      </c>
    </row>
    <row r="284" spans="1:2" x14ac:dyDescent="0.2">
      <c r="A284" t="s">
        <v>4</v>
      </c>
      <c r="B284" s="5">
        <v>4.8</v>
      </c>
    </row>
    <row r="285" spans="1:2" x14ac:dyDescent="0.2">
      <c r="A285" t="s">
        <v>5</v>
      </c>
      <c r="B285" s="5" t="s">
        <v>382</v>
      </c>
    </row>
    <row r="286" spans="1:2" x14ac:dyDescent="0.2">
      <c r="A286" t="s">
        <v>7</v>
      </c>
      <c r="B286" s="5" t="s">
        <v>304</v>
      </c>
    </row>
    <row r="287" spans="1:2" x14ac:dyDescent="0.2">
      <c r="A287" t="s">
        <v>9</v>
      </c>
      <c r="B287" s="5" t="s">
        <v>383</v>
      </c>
    </row>
    <row r="289" spans="1:2" x14ac:dyDescent="0.2">
      <c r="A289" t="s">
        <v>0</v>
      </c>
      <c r="B289" s="5">
        <v>37</v>
      </c>
    </row>
    <row r="290" spans="1:2" x14ac:dyDescent="0.2">
      <c r="A290" t="s">
        <v>1</v>
      </c>
      <c r="B290" s="5" t="s">
        <v>384</v>
      </c>
    </row>
    <row r="291" spans="1:2" x14ac:dyDescent="0.2">
      <c r="A291" t="s">
        <v>3</v>
      </c>
      <c r="B291" s="5">
        <v>3507</v>
      </c>
    </row>
    <row r="292" spans="1:2" x14ac:dyDescent="0.2">
      <c r="A292" t="s">
        <v>4</v>
      </c>
      <c r="B292" s="5">
        <v>4.8</v>
      </c>
    </row>
    <row r="293" spans="1:2" x14ac:dyDescent="0.2">
      <c r="A293" t="s">
        <v>5</v>
      </c>
      <c r="B293" s="5" t="s">
        <v>179</v>
      </c>
    </row>
    <row r="294" spans="1:2" x14ac:dyDescent="0.2">
      <c r="A294" t="s">
        <v>7</v>
      </c>
      <c r="B294" s="5" t="s">
        <v>344</v>
      </c>
    </row>
    <row r="295" spans="1:2" x14ac:dyDescent="0.2">
      <c r="A295" t="s">
        <v>9</v>
      </c>
      <c r="B295" s="5" t="s">
        <v>385</v>
      </c>
    </row>
    <row r="297" spans="1:2" x14ac:dyDescent="0.2">
      <c r="A297" t="s">
        <v>0</v>
      </c>
      <c r="B297" s="5">
        <v>38</v>
      </c>
    </row>
    <row r="298" spans="1:2" x14ac:dyDescent="0.2">
      <c r="A298" t="s">
        <v>1</v>
      </c>
      <c r="B298" s="5" t="s">
        <v>386</v>
      </c>
    </row>
    <row r="299" spans="1:2" x14ac:dyDescent="0.2">
      <c r="A299" t="s">
        <v>3</v>
      </c>
      <c r="B299" s="5">
        <v>3491</v>
      </c>
    </row>
    <row r="300" spans="1:2" x14ac:dyDescent="0.2">
      <c r="A300" t="s">
        <v>4</v>
      </c>
      <c r="B300" s="5">
        <v>4.8</v>
      </c>
    </row>
    <row r="301" spans="1:2" x14ac:dyDescent="0.2">
      <c r="A301" t="s">
        <v>5</v>
      </c>
      <c r="B301" s="5" t="s">
        <v>210</v>
      </c>
    </row>
    <row r="302" spans="1:2" x14ac:dyDescent="0.2">
      <c r="A302" t="s">
        <v>7</v>
      </c>
      <c r="B302" s="5" t="s">
        <v>21</v>
      </c>
    </row>
    <row r="303" spans="1:2" x14ac:dyDescent="0.2">
      <c r="A303" t="s">
        <v>9</v>
      </c>
      <c r="B303" s="5" t="s">
        <v>387</v>
      </c>
    </row>
    <row r="305" spans="1:2" x14ac:dyDescent="0.2">
      <c r="A305" t="s">
        <v>0</v>
      </c>
      <c r="B305" s="5">
        <v>39</v>
      </c>
    </row>
    <row r="306" spans="1:2" x14ac:dyDescent="0.2">
      <c r="A306" t="s">
        <v>1</v>
      </c>
      <c r="B306" s="5" t="s">
        <v>388</v>
      </c>
    </row>
    <row r="307" spans="1:2" x14ac:dyDescent="0.2">
      <c r="A307" t="s">
        <v>3</v>
      </c>
      <c r="B307" s="5">
        <v>3460</v>
      </c>
    </row>
    <row r="308" spans="1:2" x14ac:dyDescent="0.2">
      <c r="A308" t="s">
        <v>4</v>
      </c>
      <c r="B308" s="5">
        <v>4.7</v>
      </c>
    </row>
    <row r="309" spans="1:2" x14ac:dyDescent="0.2">
      <c r="A309" t="s">
        <v>5</v>
      </c>
      <c r="B309" s="5" t="s">
        <v>389</v>
      </c>
    </row>
    <row r="310" spans="1:2" x14ac:dyDescent="0.2">
      <c r="A310" t="s">
        <v>7</v>
      </c>
      <c r="B310" s="5" t="s">
        <v>299</v>
      </c>
    </row>
    <row r="311" spans="1:2" x14ac:dyDescent="0.2">
      <c r="A311" t="s">
        <v>9</v>
      </c>
      <c r="B311" s="5" t="s">
        <v>390</v>
      </c>
    </row>
    <row r="313" spans="1:2" x14ac:dyDescent="0.2">
      <c r="A313" t="s">
        <v>0</v>
      </c>
      <c r="B313" s="5">
        <v>40</v>
      </c>
    </row>
    <row r="314" spans="1:2" x14ac:dyDescent="0.2">
      <c r="A314" t="s">
        <v>1</v>
      </c>
      <c r="B314" s="5" t="s">
        <v>391</v>
      </c>
    </row>
    <row r="315" spans="1:2" x14ac:dyDescent="0.2">
      <c r="A315" t="s">
        <v>3</v>
      </c>
      <c r="B315" s="5">
        <v>3430</v>
      </c>
    </row>
    <row r="316" spans="1:2" x14ac:dyDescent="0.2">
      <c r="A316" t="s">
        <v>4</v>
      </c>
      <c r="B316" s="5">
        <v>4.4000000000000004</v>
      </c>
    </row>
    <row r="317" spans="1:2" x14ac:dyDescent="0.2">
      <c r="A317" t="s">
        <v>5</v>
      </c>
      <c r="B317" s="5" t="s">
        <v>392</v>
      </c>
    </row>
    <row r="318" spans="1:2" x14ac:dyDescent="0.2">
      <c r="A318" t="s">
        <v>7</v>
      </c>
      <c r="B318" s="5" t="s">
        <v>244</v>
      </c>
    </row>
    <row r="319" spans="1:2" x14ac:dyDescent="0.2">
      <c r="A319" t="s">
        <v>9</v>
      </c>
      <c r="B319" s="5" t="s">
        <v>393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3CDB-6F70-48C8-9384-A16FF11E8F4E}">
  <sheetPr codeName="Sheet6">
    <tabColor rgb="FF00B0F0"/>
  </sheetPr>
  <dimension ref="A1:C320"/>
  <sheetViews>
    <sheetView tabSelected="1" topLeftCell="A22" zoomScaleNormal="100" workbookViewId="0">
      <selection activeCell="G14" sqref="G14"/>
    </sheetView>
  </sheetViews>
  <sheetFormatPr defaultRowHeight="14.25" x14ac:dyDescent="0.2"/>
  <cols>
    <col min="1" max="1" width="12.25" customWidth="1"/>
    <col min="2" max="2" width="7.125" style="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2" ht="15" thickBot="1" x14ac:dyDescent="0.25">
      <c r="A1" s="10" t="str">
        <f>HYPERLINK(INDEX(获取工作表名,1)&amp;"!A"&amp;MATCH("浦东八佰伴店",汇总!B:B,0),"浦东八佰伴店")</f>
        <v>浦东八佰伴店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166</v>
      </c>
    </row>
    <row r="4" spans="1:2" x14ac:dyDescent="0.2">
      <c r="A4" t="s">
        <v>3</v>
      </c>
      <c r="B4" s="5">
        <v>13576</v>
      </c>
    </row>
    <row r="5" spans="1:2" x14ac:dyDescent="0.2">
      <c r="A5" t="s">
        <v>4</v>
      </c>
      <c r="B5" s="5">
        <v>4.7</v>
      </c>
    </row>
    <row r="6" spans="1:2" x14ac:dyDescent="0.2">
      <c r="A6" t="s">
        <v>5</v>
      </c>
      <c r="B6" s="5" t="s">
        <v>394</v>
      </c>
    </row>
    <row r="7" spans="1:2" x14ac:dyDescent="0.2">
      <c r="A7" t="s">
        <v>7</v>
      </c>
      <c r="B7" s="5" t="s">
        <v>36</v>
      </c>
    </row>
    <row r="8" spans="1:2" x14ac:dyDescent="0.2">
      <c r="A8" t="s">
        <v>9</v>
      </c>
      <c r="B8" s="5" t="s">
        <v>168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395</v>
      </c>
    </row>
    <row r="12" spans="1:2" x14ac:dyDescent="0.2">
      <c r="A12" t="s">
        <v>3</v>
      </c>
      <c r="B12" s="5">
        <v>9645</v>
      </c>
    </row>
    <row r="13" spans="1:2" x14ac:dyDescent="0.2">
      <c r="A13" t="s">
        <v>4</v>
      </c>
      <c r="B13" s="5">
        <v>4.8</v>
      </c>
    </row>
    <row r="14" spans="1:2" x14ac:dyDescent="0.2">
      <c r="A14" t="s">
        <v>5</v>
      </c>
      <c r="B14" s="5" t="s">
        <v>396</v>
      </c>
    </row>
    <row r="15" spans="1:2" x14ac:dyDescent="0.2">
      <c r="A15" t="s">
        <v>7</v>
      </c>
      <c r="B15" s="5" t="s">
        <v>244</v>
      </c>
    </row>
    <row r="16" spans="1:2" x14ac:dyDescent="0.2">
      <c r="A16" t="s">
        <v>9</v>
      </c>
      <c r="B16" s="5" t="s">
        <v>18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397</v>
      </c>
    </row>
    <row r="20" spans="1:2" x14ac:dyDescent="0.2">
      <c r="A20" t="s">
        <v>3</v>
      </c>
      <c r="B20" s="5">
        <v>9557</v>
      </c>
    </row>
    <row r="21" spans="1:2" x14ac:dyDescent="0.2">
      <c r="A21" t="s">
        <v>4</v>
      </c>
      <c r="B21" s="5">
        <v>4.5999999999999996</v>
      </c>
    </row>
    <row r="22" spans="1:2" x14ac:dyDescent="0.2">
      <c r="A22" t="s">
        <v>5</v>
      </c>
      <c r="B22" s="5" t="s">
        <v>398</v>
      </c>
    </row>
    <row r="23" spans="1:2" x14ac:dyDescent="0.2">
      <c r="A23" t="s">
        <v>7</v>
      </c>
      <c r="B23" s="5" t="s">
        <v>244</v>
      </c>
    </row>
    <row r="24" spans="1:2" x14ac:dyDescent="0.2">
      <c r="A24" t="s">
        <v>9</v>
      </c>
      <c r="B24" s="5" t="s">
        <v>399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400</v>
      </c>
    </row>
    <row r="28" spans="1:2" x14ac:dyDescent="0.2">
      <c r="A28" t="s">
        <v>3</v>
      </c>
      <c r="B28" s="5">
        <v>9465</v>
      </c>
    </row>
    <row r="29" spans="1:2" x14ac:dyDescent="0.2">
      <c r="A29" t="s">
        <v>4</v>
      </c>
      <c r="B29" s="5">
        <v>4.8</v>
      </c>
    </row>
    <row r="30" spans="1:2" x14ac:dyDescent="0.2">
      <c r="A30" t="s">
        <v>5</v>
      </c>
      <c r="B30" s="5" t="s">
        <v>401</v>
      </c>
    </row>
    <row r="31" spans="1:2" x14ac:dyDescent="0.2">
      <c r="A31" t="s">
        <v>7</v>
      </c>
      <c r="B31" s="5" t="s">
        <v>119</v>
      </c>
    </row>
    <row r="32" spans="1:2" x14ac:dyDescent="0.2">
      <c r="A32" t="s">
        <v>9</v>
      </c>
      <c r="B32" s="5" t="s">
        <v>402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403</v>
      </c>
    </row>
    <row r="36" spans="1:2" x14ac:dyDescent="0.2">
      <c r="A36" t="s">
        <v>3</v>
      </c>
      <c r="B36" s="5">
        <v>9232</v>
      </c>
    </row>
    <row r="37" spans="1:2" x14ac:dyDescent="0.2">
      <c r="A37" t="s">
        <v>4</v>
      </c>
      <c r="B37" s="5">
        <v>4.8</v>
      </c>
    </row>
    <row r="38" spans="1:2" x14ac:dyDescent="0.2">
      <c r="A38" t="s">
        <v>5</v>
      </c>
      <c r="B38" s="5" t="s">
        <v>404</v>
      </c>
    </row>
    <row r="39" spans="1:2" x14ac:dyDescent="0.2">
      <c r="A39" t="s">
        <v>7</v>
      </c>
      <c r="B39" s="5" t="s">
        <v>299</v>
      </c>
    </row>
    <row r="40" spans="1:2" x14ac:dyDescent="0.2">
      <c r="A40" t="s">
        <v>9</v>
      </c>
      <c r="B40" s="5" t="s">
        <v>171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405</v>
      </c>
    </row>
    <row r="44" spans="1:2" x14ac:dyDescent="0.2">
      <c r="A44" t="s">
        <v>3</v>
      </c>
      <c r="B44" s="5">
        <v>8626</v>
      </c>
    </row>
    <row r="45" spans="1:2" x14ac:dyDescent="0.2">
      <c r="A45" t="s">
        <v>4</v>
      </c>
      <c r="B45" s="5">
        <v>4.7</v>
      </c>
    </row>
    <row r="46" spans="1:2" x14ac:dyDescent="0.2">
      <c r="A46" t="s">
        <v>5</v>
      </c>
      <c r="B46" s="5" t="s">
        <v>406</v>
      </c>
    </row>
    <row r="47" spans="1:2" x14ac:dyDescent="0.2">
      <c r="A47" t="s">
        <v>7</v>
      </c>
      <c r="B47" s="5" t="s">
        <v>271</v>
      </c>
    </row>
    <row r="48" spans="1:2" x14ac:dyDescent="0.2">
      <c r="A48" t="s">
        <v>9</v>
      </c>
      <c r="B48" s="5" t="s">
        <v>22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284</v>
      </c>
    </row>
    <row r="52" spans="1:2" x14ac:dyDescent="0.2">
      <c r="A52" t="s">
        <v>3</v>
      </c>
      <c r="B52" s="5">
        <v>8488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407</v>
      </c>
    </row>
    <row r="55" spans="1:2" x14ac:dyDescent="0.2">
      <c r="A55" t="s">
        <v>7</v>
      </c>
      <c r="B55" s="5" t="s">
        <v>48</v>
      </c>
    </row>
    <row r="56" spans="1:2" x14ac:dyDescent="0.2">
      <c r="A56" t="s">
        <v>9</v>
      </c>
      <c r="B56" s="5" t="s">
        <v>49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408</v>
      </c>
    </row>
    <row r="60" spans="1:2" x14ac:dyDescent="0.2">
      <c r="A60" t="s">
        <v>3</v>
      </c>
      <c r="B60" s="5">
        <v>8106</v>
      </c>
    </row>
    <row r="61" spans="1:2" x14ac:dyDescent="0.2">
      <c r="A61" t="s">
        <v>4</v>
      </c>
      <c r="B61" s="5">
        <v>4.5</v>
      </c>
    </row>
    <row r="62" spans="1:2" x14ac:dyDescent="0.2">
      <c r="A62" t="s">
        <v>5</v>
      </c>
      <c r="B62" s="5" t="s">
        <v>409</v>
      </c>
    </row>
    <row r="63" spans="1:2" x14ac:dyDescent="0.2">
      <c r="A63" t="s">
        <v>7</v>
      </c>
      <c r="B63" s="5" t="s">
        <v>77</v>
      </c>
    </row>
    <row r="64" spans="1:2" x14ac:dyDescent="0.2">
      <c r="A64" t="s">
        <v>9</v>
      </c>
      <c r="B64" s="5" t="s">
        <v>410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411</v>
      </c>
    </row>
    <row r="68" spans="1:2" x14ac:dyDescent="0.2">
      <c r="A68" t="s">
        <v>3</v>
      </c>
      <c r="B68" s="5">
        <v>7746</v>
      </c>
    </row>
    <row r="69" spans="1:2" x14ac:dyDescent="0.2">
      <c r="A69" t="s">
        <v>4</v>
      </c>
      <c r="B69" s="5">
        <v>4.8</v>
      </c>
    </row>
    <row r="70" spans="1:2" x14ac:dyDescent="0.2">
      <c r="A70" t="s">
        <v>5</v>
      </c>
      <c r="B70" s="5" t="s">
        <v>412</v>
      </c>
    </row>
    <row r="71" spans="1:2" x14ac:dyDescent="0.2">
      <c r="A71" t="s">
        <v>7</v>
      </c>
      <c r="B71" s="5" t="s">
        <v>119</v>
      </c>
    </row>
    <row r="72" spans="1:2" x14ac:dyDescent="0.2">
      <c r="A72" t="s">
        <v>9</v>
      </c>
      <c r="B72" s="5" t="s">
        <v>413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54</v>
      </c>
    </row>
    <row r="76" spans="1:2" x14ac:dyDescent="0.2">
      <c r="A76" t="s">
        <v>3</v>
      </c>
      <c r="B76" s="5">
        <v>7058</v>
      </c>
    </row>
    <row r="77" spans="1:2" x14ac:dyDescent="0.2">
      <c r="A77" t="s">
        <v>4</v>
      </c>
      <c r="B77" s="5">
        <v>4.8</v>
      </c>
    </row>
    <row r="78" spans="1:2" x14ac:dyDescent="0.2">
      <c r="A78" t="s">
        <v>5</v>
      </c>
      <c r="B78" s="5" t="s">
        <v>414</v>
      </c>
    </row>
    <row r="79" spans="1:2" x14ac:dyDescent="0.2">
      <c r="A79" t="s">
        <v>7</v>
      </c>
      <c r="B79" s="5" t="s">
        <v>56</v>
      </c>
    </row>
    <row r="80" spans="1:2" x14ac:dyDescent="0.2">
      <c r="A80" t="s">
        <v>9</v>
      </c>
      <c r="B80" s="5" t="s">
        <v>57</v>
      </c>
    </row>
    <row r="82" spans="1:3" x14ac:dyDescent="0.2">
      <c r="A82" t="s">
        <v>0</v>
      </c>
      <c r="B82" s="5">
        <v>11</v>
      </c>
    </row>
    <row r="83" spans="1:3" x14ac:dyDescent="0.2">
      <c r="A83" t="s">
        <v>1</v>
      </c>
      <c r="B83" s="5" t="s">
        <v>415</v>
      </c>
    </row>
    <row r="84" spans="1:3" x14ac:dyDescent="0.2">
      <c r="A84" t="s">
        <v>3</v>
      </c>
      <c r="B84" s="5">
        <v>6898</v>
      </c>
    </row>
    <row r="85" spans="1:3" x14ac:dyDescent="0.2">
      <c r="A85" t="s">
        <v>4</v>
      </c>
      <c r="B85" s="5">
        <v>4.7</v>
      </c>
    </row>
    <row r="86" spans="1:3" x14ac:dyDescent="0.2">
      <c r="A86" t="s">
        <v>5</v>
      </c>
      <c r="B86" s="5" t="s">
        <v>416</v>
      </c>
    </row>
    <row r="87" spans="1:3" x14ac:dyDescent="0.2">
      <c r="A87" t="s">
        <v>7</v>
      </c>
      <c r="B87" s="5" t="s">
        <v>299</v>
      </c>
    </row>
    <row r="88" spans="1:3" x14ac:dyDescent="0.2">
      <c r="A88" t="s">
        <v>9</v>
      </c>
      <c r="B88" s="5" t="s">
        <v>106</v>
      </c>
    </row>
    <row r="90" spans="1:3" x14ac:dyDescent="0.2">
      <c r="A90" t="s">
        <v>0</v>
      </c>
      <c r="B90" s="5">
        <v>12</v>
      </c>
    </row>
    <row r="91" spans="1:3" x14ac:dyDescent="0.2">
      <c r="A91" t="s">
        <v>1</v>
      </c>
      <c r="B91" s="5" t="s">
        <v>417</v>
      </c>
      <c r="C91" t="s">
        <v>418</v>
      </c>
    </row>
    <row r="92" spans="1:3" x14ac:dyDescent="0.2">
      <c r="A92" t="s">
        <v>3</v>
      </c>
      <c r="B92" s="5">
        <v>6623</v>
      </c>
    </row>
    <row r="93" spans="1:3" x14ac:dyDescent="0.2">
      <c r="A93" t="s">
        <v>4</v>
      </c>
      <c r="B93" s="5">
        <v>4.7</v>
      </c>
    </row>
    <row r="94" spans="1:3" x14ac:dyDescent="0.2">
      <c r="A94" t="s">
        <v>5</v>
      </c>
      <c r="B94" s="5" t="s">
        <v>419</v>
      </c>
    </row>
    <row r="95" spans="1:3" x14ac:dyDescent="0.2">
      <c r="A95" t="s">
        <v>7</v>
      </c>
      <c r="B95" s="5" t="s">
        <v>299</v>
      </c>
    </row>
    <row r="96" spans="1:3" x14ac:dyDescent="0.2">
      <c r="A96" t="s">
        <v>9</v>
      </c>
      <c r="B96" s="5" t="s">
        <v>420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421</v>
      </c>
    </row>
    <row r="100" spans="1:2" x14ac:dyDescent="0.2">
      <c r="A100" t="s">
        <v>3</v>
      </c>
      <c r="B100" s="5">
        <v>6512</v>
      </c>
    </row>
    <row r="101" spans="1:2" x14ac:dyDescent="0.2">
      <c r="A101" t="s">
        <v>4</v>
      </c>
      <c r="B101" s="5">
        <v>4.8</v>
      </c>
    </row>
    <row r="102" spans="1:2" x14ac:dyDescent="0.2">
      <c r="A102" t="s">
        <v>5</v>
      </c>
      <c r="B102" s="5" t="s">
        <v>422</v>
      </c>
    </row>
    <row r="103" spans="1:2" x14ac:dyDescent="0.2">
      <c r="A103" t="s">
        <v>7</v>
      </c>
      <c r="B103" s="5" t="s">
        <v>271</v>
      </c>
    </row>
    <row r="104" spans="1:2" x14ac:dyDescent="0.2">
      <c r="A104" t="s">
        <v>9</v>
      </c>
      <c r="B104" s="5" t="s">
        <v>186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423</v>
      </c>
    </row>
    <row r="108" spans="1:2" x14ac:dyDescent="0.2">
      <c r="A108" t="s">
        <v>3</v>
      </c>
      <c r="B108" s="5">
        <v>6460</v>
      </c>
    </row>
    <row r="109" spans="1:2" x14ac:dyDescent="0.2">
      <c r="A109" t="s">
        <v>4</v>
      </c>
      <c r="B109" s="5">
        <v>4.8</v>
      </c>
    </row>
    <row r="110" spans="1:2" x14ac:dyDescent="0.2">
      <c r="A110" t="s">
        <v>5</v>
      </c>
      <c r="B110" s="5" t="s">
        <v>424</v>
      </c>
    </row>
    <row r="111" spans="1:2" x14ac:dyDescent="0.2">
      <c r="A111" t="s">
        <v>7</v>
      </c>
      <c r="B111" s="5" t="s">
        <v>13</v>
      </c>
    </row>
    <row r="112" spans="1:2" x14ac:dyDescent="0.2">
      <c r="A112" t="s">
        <v>9</v>
      </c>
      <c r="B112" s="5" t="s">
        <v>425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426</v>
      </c>
    </row>
    <row r="116" spans="1:2" x14ac:dyDescent="0.2">
      <c r="A116" t="s">
        <v>3</v>
      </c>
      <c r="B116" s="5">
        <v>6205</v>
      </c>
    </row>
    <row r="117" spans="1:2" x14ac:dyDescent="0.2">
      <c r="A117" t="s">
        <v>4</v>
      </c>
      <c r="B117" s="5">
        <v>4.5999999999999996</v>
      </c>
    </row>
    <row r="118" spans="1:2" x14ac:dyDescent="0.2">
      <c r="A118" t="s">
        <v>5</v>
      </c>
      <c r="B118" s="5" t="s">
        <v>427</v>
      </c>
    </row>
    <row r="119" spans="1:2" x14ac:dyDescent="0.2">
      <c r="A119" t="s">
        <v>7</v>
      </c>
      <c r="B119" s="5" t="s">
        <v>77</v>
      </c>
    </row>
    <row r="120" spans="1:2" x14ac:dyDescent="0.2">
      <c r="A120" t="s">
        <v>9</v>
      </c>
      <c r="B120" s="5" t="s">
        <v>428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429</v>
      </c>
    </row>
    <row r="124" spans="1:2" x14ac:dyDescent="0.2">
      <c r="A124" t="s">
        <v>3</v>
      </c>
      <c r="B124" s="5">
        <v>6133</v>
      </c>
    </row>
    <row r="125" spans="1:2" x14ac:dyDescent="0.2">
      <c r="A125" t="s">
        <v>4</v>
      </c>
      <c r="B125" s="5">
        <v>4.8</v>
      </c>
    </row>
    <row r="126" spans="1:2" x14ac:dyDescent="0.2">
      <c r="A126" t="s">
        <v>5</v>
      </c>
      <c r="B126" s="5" t="s">
        <v>430</v>
      </c>
    </row>
    <row r="127" spans="1:2" x14ac:dyDescent="0.2">
      <c r="A127" t="s">
        <v>7</v>
      </c>
      <c r="B127" s="5" t="s">
        <v>431</v>
      </c>
    </row>
    <row r="128" spans="1:2" x14ac:dyDescent="0.2">
      <c r="A128" t="s">
        <v>9</v>
      </c>
      <c r="B128" s="5" t="s">
        <v>432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433</v>
      </c>
    </row>
    <row r="132" spans="1:2" x14ac:dyDescent="0.2">
      <c r="A132" t="s">
        <v>3</v>
      </c>
      <c r="B132" s="5">
        <v>5914</v>
      </c>
    </row>
    <row r="133" spans="1:2" x14ac:dyDescent="0.2">
      <c r="A133" t="s">
        <v>4</v>
      </c>
      <c r="B133" s="5">
        <v>4.8</v>
      </c>
    </row>
    <row r="134" spans="1:2" x14ac:dyDescent="0.2">
      <c r="A134" t="s">
        <v>5</v>
      </c>
      <c r="B134" s="5" t="s">
        <v>434</v>
      </c>
    </row>
    <row r="135" spans="1:2" x14ac:dyDescent="0.2">
      <c r="A135" t="s">
        <v>7</v>
      </c>
      <c r="B135" s="5" t="s">
        <v>77</v>
      </c>
    </row>
    <row r="136" spans="1:2" x14ac:dyDescent="0.2">
      <c r="A136" t="s">
        <v>9</v>
      </c>
      <c r="B136" s="5" t="s">
        <v>435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436</v>
      </c>
    </row>
    <row r="140" spans="1:2" x14ac:dyDescent="0.2">
      <c r="A140" t="s">
        <v>3</v>
      </c>
      <c r="B140" s="5">
        <v>5881</v>
      </c>
    </row>
    <row r="141" spans="1:2" x14ac:dyDescent="0.2">
      <c r="A141" t="s">
        <v>4</v>
      </c>
      <c r="B141" s="5">
        <v>4.8</v>
      </c>
    </row>
    <row r="142" spans="1:2" x14ac:dyDescent="0.2">
      <c r="A142" t="s">
        <v>5</v>
      </c>
      <c r="B142" s="5" t="s">
        <v>437</v>
      </c>
    </row>
    <row r="143" spans="1:2" x14ac:dyDescent="0.2">
      <c r="A143" t="s">
        <v>7</v>
      </c>
      <c r="B143" s="5" t="s">
        <v>85</v>
      </c>
    </row>
    <row r="144" spans="1:2" x14ac:dyDescent="0.2">
      <c r="A144" t="s">
        <v>9</v>
      </c>
      <c r="B144" s="5" t="s">
        <v>438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439</v>
      </c>
    </row>
    <row r="148" spans="1:2" x14ac:dyDescent="0.2">
      <c r="A148" t="s">
        <v>3</v>
      </c>
      <c r="B148" s="5">
        <v>5569</v>
      </c>
    </row>
    <row r="149" spans="1:2" x14ac:dyDescent="0.2">
      <c r="A149" t="s">
        <v>4</v>
      </c>
      <c r="B149" s="5">
        <v>4.7</v>
      </c>
    </row>
    <row r="150" spans="1:2" x14ac:dyDescent="0.2">
      <c r="A150" t="s">
        <v>5</v>
      </c>
      <c r="B150" s="5" t="s">
        <v>440</v>
      </c>
    </row>
    <row r="151" spans="1:2" x14ac:dyDescent="0.2">
      <c r="A151" t="s">
        <v>7</v>
      </c>
      <c r="B151" s="5" t="s">
        <v>299</v>
      </c>
    </row>
    <row r="152" spans="1:2" x14ac:dyDescent="0.2">
      <c r="A152" t="s">
        <v>9</v>
      </c>
      <c r="B152" s="5" t="s">
        <v>441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442</v>
      </c>
    </row>
    <row r="156" spans="1:2" x14ac:dyDescent="0.2">
      <c r="A156" t="s">
        <v>3</v>
      </c>
      <c r="B156" s="5">
        <v>5493</v>
      </c>
    </row>
    <row r="157" spans="1:2" x14ac:dyDescent="0.2">
      <c r="A157" t="s">
        <v>4</v>
      </c>
      <c r="B157" s="5">
        <v>4.8</v>
      </c>
    </row>
    <row r="158" spans="1:2" x14ac:dyDescent="0.2">
      <c r="A158" t="s">
        <v>5</v>
      </c>
      <c r="B158" s="5" t="s">
        <v>443</v>
      </c>
    </row>
    <row r="159" spans="1:2" x14ac:dyDescent="0.2">
      <c r="A159" t="s">
        <v>7</v>
      </c>
      <c r="B159" s="5" t="s">
        <v>206</v>
      </c>
    </row>
    <row r="160" spans="1:2" x14ac:dyDescent="0.2">
      <c r="A160" t="s">
        <v>9</v>
      </c>
      <c r="B160" s="5" t="s">
        <v>444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445</v>
      </c>
    </row>
    <row r="164" spans="1:2" x14ac:dyDescent="0.2">
      <c r="A164" t="s">
        <v>3</v>
      </c>
      <c r="B164" s="5">
        <v>5460</v>
      </c>
    </row>
    <row r="165" spans="1:2" x14ac:dyDescent="0.2">
      <c r="A165" t="s">
        <v>4</v>
      </c>
      <c r="B165" s="5">
        <v>4.7</v>
      </c>
    </row>
    <row r="166" spans="1:2" x14ac:dyDescent="0.2">
      <c r="A166" t="s">
        <v>5</v>
      </c>
      <c r="B166" s="5" t="s">
        <v>303</v>
      </c>
    </row>
    <row r="167" spans="1:2" x14ac:dyDescent="0.2">
      <c r="A167" t="s">
        <v>7</v>
      </c>
      <c r="B167" s="5" t="s">
        <v>206</v>
      </c>
    </row>
    <row r="168" spans="1:2" x14ac:dyDescent="0.2">
      <c r="A168" t="s">
        <v>9</v>
      </c>
      <c r="B168" s="5" t="s">
        <v>446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447</v>
      </c>
    </row>
    <row r="172" spans="1:2" x14ac:dyDescent="0.2">
      <c r="A172" t="s">
        <v>3</v>
      </c>
      <c r="B172" s="5">
        <v>5294</v>
      </c>
    </row>
    <row r="173" spans="1:2" x14ac:dyDescent="0.2">
      <c r="A173" t="s">
        <v>4</v>
      </c>
      <c r="B173" s="5">
        <v>4.5</v>
      </c>
    </row>
    <row r="174" spans="1:2" x14ac:dyDescent="0.2">
      <c r="A174" t="s">
        <v>5</v>
      </c>
      <c r="B174" s="5" t="s">
        <v>448</v>
      </c>
    </row>
    <row r="175" spans="1:2" x14ac:dyDescent="0.2">
      <c r="A175" t="s">
        <v>7</v>
      </c>
      <c r="B175" s="5" t="s">
        <v>206</v>
      </c>
    </row>
    <row r="176" spans="1:2" x14ac:dyDescent="0.2">
      <c r="A176" t="s">
        <v>9</v>
      </c>
      <c r="B176" s="5" t="s">
        <v>449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450</v>
      </c>
    </row>
    <row r="180" spans="1:2" x14ac:dyDescent="0.2">
      <c r="A180" t="s">
        <v>3</v>
      </c>
      <c r="B180" s="5">
        <v>5086</v>
      </c>
    </row>
    <row r="181" spans="1:2" x14ac:dyDescent="0.2">
      <c r="A181" t="s">
        <v>4</v>
      </c>
      <c r="B181" s="5">
        <v>4.5999999999999996</v>
      </c>
    </row>
    <row r="182" spans="1:2" x14ac:dyDescent="0.2">
      <c r="A182" t="s">
        <v>5</v>
      </c>
      <c r="B182" s="5" t="s">
        <v>451</v>
      </c>
    </row>
    <row r="183" spans="1:2" x14ac:dyDescent="0.2">
      <c r="A183" t="s">
        <v>7</v>
      </c>
      <c r="B183" s="5" t="s">
        <v>315</v>
      </c>
    </row>
    <row r="184" spans="1:2" x14ac:dyDescent="0.2">
      <c r="A184" t="s">
        <v>9</v>
      </c>
      <c r="B184" s="5" t="s">
        <v>452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453</v>
      </c>
    </row>
    <row r="188" spans="1:2" x14ac:dyDescent="0.2">
      <c r="A188" t="s">
        <v>3</v>
      </c>
      <c r="B188" s="5">
        <v>5085</v>
      </c>
    </row>
    <row r="189" spans="1:2" x14ac:dyDescent="0.2">
      <c r="A189" t="s">
        <v>4</v>
      </c>
      <c r="B189" s="5">
        <v>4.9000000000000004</v>
      </c>
    </row>
    <row r="190" spans="1:2" x14ac:dyDescent="0.2">
      <c r="A190" t="s">
        <v>5</v>
      </c>
      <c r="B190" s="5" t="s">
        <v>454</v>
      </c>
    </row>
    <row r="191" spans="1:2" x14ac:dyDescent="0.2">
      <c r="A191" t="s">
        <v>7</v>
      </c>
      <c r="B191" s="5" t="s">
        <v>89</v>
      </c>
    </row>
    <row r="192" spans="1:2" x14ac:dyDescent="0.2">
      <c r="A192" t="s">
        <v>9</v>
      </c>
      <c r="B192" s="5" t="s">
        <v>455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456</v>
      </c>
    </row>
    <row r="196" spans="1:2" x14ac:dyDescent="0.2">
      <c r="A196" t="s">
        <v>3</v>
      </c>
      <c r="B196" s="5">
        <v>5072</v>
      </c>
    </row>
    <row r="197" spans="1:2" x14ac:dyDescent="0.2">
      <c r="A197" t="s">
        <v>4</v>
      </c>
      <c r="B197" s="5">
        <v>4.7</v>
      </c>
    </row>
    <row r="198" spans="1:2" x14ac:dyDescent="0.2">
      <c r="A198" t="s">
        <v>5</v>
      </c>
      <c r="B198" s="5" t="s">
        <v>457</v>
      </c>
    </row>
    <row r="199" spans="1:2" x14ac:dyDescent="0.2">
      <c r="A199" t="s">
        <v>7</v>
      </c>
      <c r="B199" s="5" t="s">
        <v>244</v>
      </c>
    </row>
    <row r="200" spans="1:2" x14ac:dyDescent="0.2">
      <c r="A200" t="s">
        <v>9</v>
      </c>
      <c r="B200" s="5" t="s">
        <v>458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459</v>
      </c>
    </row>
    <row r="204" spans="1:2" x14ac:dyDescent="0.2">
      <c r="A204" t="s">
        <v>3</v>
      </c>
      <c r="B204" s="5">
        <v>4973</v>
      </c>
    </row>
    <row r="205" spans="1:2" x14ac:dyDescent="0.2">
      <c r="A205" t="s">
        <v>4</v>
      </c>
      <c r="B205" s="5">
        <v>4.7</v>
      </c>
    </row>
    <row r="206" spans="1:2" x14ac:dyDescent="0.2">
      <c r="A206" t="s">
        <v>5</v>
      </c>
      <c r="B206" s="5" t="s">
        <v>460</v>
      </c>
    </row>
    <row r="207" spans="1:2" x14ac:dyDescent="0.2">
      <c r="A207" t="s">
        <v>7</v>
      </c>
      <c r="B207" s="5" t="s">
        <v>56</v>
      </c>
    </row>
    <row r="208" spans="1:2" x14ac:dyDescent="0.2">
      <c r="A208" t="s">
        <v>9</v>
      </c>
      <c r="B208" s="5" t="s">
        <v>461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325</v>
      </c>
    </row>
    <row r="212" spans="1:2" x14ac:dyDescent="0.2">
      <c r="A212" t="s">
        <v>3</v>
      </c>
      <c r="B212" s="5">
        <v>4899</v>
      </c>
    </row>
    <row r="213" spans="1:2" x14ac:dyDescent="0.2">
      <c r="A213" t="s">
        <v>4</v>
      </c>
      <c r="B213" s="5">
        <v>4.7</v>
      </c>
    </row>
    <row r="214" spans="1:2" x14ac:dyDescent="0.2">
      <c r="A214" t="s">
        <v>5</v>
      </c>
      <c r="B214" s="5" t="s">
        <v>462</v>
      </c>
    </row>
    <row r="215" spans="1:2" x14ac:dyDescent="0.2">
      <c r="A215" t="s">
        <v>7</v>
      </c>
      <c r="B215" s="5" t="s">
        <v>275</v>
      </c>
    </row>
    <row r="216" spans="1:2" x14ac:dyDescent="0.2">
      <c r="A216" t="s">
        <v>9</v>
      </c>
      <c r="B216" s="5" t="s">
        <v>327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463</v>
      </c>
    </row>
    <row r="220" spans="1:2" x14ac:dyDescent="0.2">
      <c r="A220" t="s">
        <v>3</v>
      </c>
      <c r="B220" s="5">
        <v>4750</v>
      </c>
    </row>
    <row r="221" spans="1:2" x14ac:dyDescent="0.2">
      <c r="A221" t="s">
        <v>4</v>
      </c>
      <c r="B221" s="5">
        <v>4.5999999999999996</v>
      </c>
    </row>
    <row r="222" spans="1:2" x14ac:dyDescent="0.2">
      <c r="A222" t="s">
        <v>5</v>
      </c>
      <c r="B222" s="5" t="s">
        <v>464</v>
      </c>
    </row>
    <row r="223" spans="1:2" x14ac:dyDescent="0.2">
      <c r="A223" t="s">
        <v>7</v>
      </c>
      <c r="B223" s="5" t="s">
        <v>25</v>
      </c>
    </row>
    <row r="224" spans="1:2" x14ac:dyDescent="0.2">
      <c r="A224" t="s">
        <v>9</v>
      </c>
      <c r="B224" s="5" t="s">
        <v>465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466</v>
      </c>
    </row>
    <row r="228" spans="1:2" x14ac:dyDescent="0.2">
      <c r="A228" t="s">
        <v>3</v>
      </c>
      <c r="B228" s="5">
        <v>4665</v>
      </c>
    </row>
    <row r="229" spans="1:2" x14ac:dyDescent="0.2">
      <c r="A229" t="s">
        <v>4</v>
      </c>
      <c r="B229" s="5">
        <v>4.5999999999999996</v>
      </c>
    </row>
    <row r="230" spans="1:2" x14ac:dyDescent="0.2">
      <c r="A230" t="s">
        <v>5</v>
      </c>
      <c r="B230" s="5" t="s">
        <v>467</v>
      </c>
    </row>
    <row r="231" spans="1:2" x14ac:dyDescent="0.2">
      <c r="A231" t="s">
        <v>7</v>
      </c>
      <c r="B231" s="5" t="s">
        <v>468</v>
      </c>
    </row>
    <row r="232" spans="1:2" x14ac:dyDescent="0.2">
      <c r="A232" t="s">
        <v>9</v>
      </c>
      <c r="B232" s="5" t="s">
        <v>469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470</v>
      </c>
    </row>
    <row r="236" spans="1:2" x14ac:dyDescent="0.2">
      <c r="A236" t="s">
        <v>3</v>
      </c>
      <c r="B236" s="5">
        <v>4648</v>
      </c>
    </row>
    <row r="237" spans="1:2" x14ac:dyDescent="0.2">
      <c r="A237" t="s">
        <v>4</v>
      </c>
      <c r="B237" s="5">
        <v>4.7</v>
      </c>
    </row>
    <row r="238" spans="1:2" x14ac:dyDescent="0.2">
      <c r="A238" t="s">
        <v>5</v>
      </c>
      <c r="B238" s="5" t="s">
        <v>205</v>
      </c>
    </row>
    <row r="239" spans="1:2" x14ac:dyDescent="0.2">
      <c r="A239" t="s">
        <v>7</v>
      </c>
      <c r="B239" s="5" t="s">
        <v>89</v>
      </c>
    </row>
    <row r="240" spans="1:2" x14ac:dyDescent="0.2">
      <c r="A240" t="s">
        <v>9</v>
      </c>
      <c r="B240" s="5" t="s">
        <v>471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472</v>
      </c>
    </row>
    <row r="244" spans="1:2" x14ac:dyDescent="0.2">
      <c r="A244" t="s">
        <v>3</v>
      </c>
      <c r="B244" s="5">
        <v>4621</v>
      </c>
    </row>
    <row r="245" spans="1:2" x14ac:dyDescent="0.2">
      <c r="A245" t="s">
        <v>4</v>
      </c>
      <c r="B245" s="5">
        <v>4.8</v>
      </c>
    </row>
    <row r="246" spans="1:2" x14ac:dyDescent="0.2">
      <c r="A246" t="s">
        <v>5</v>
      </c>
      <c r="B246" s="5" t="s">
        <v>473</v>
      </c>
    </row>
    <row r="247" spans="1:2" x14ac:dyDescent="0.2">
      <c r="A247" t="s">
        <v>7</v>
      </c>
      <c r="B247" s="5" t="s">
        <v>73</v>
      </c>
    </row>
    <row r="248" spans="1:2" x14ac:dyDescent="0.2">
      <c r="A248" t="s">
        <v>9</v>
      </c>
      <c r="B248" s="5" t="s">
        <v>30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474</v>
      </c>
    </row>
    <row r="252" spans="1:2" x14ac:dyDescent="0.2">
      <c r="A252" t="s">
        <v>3</v>
      </c>
      <c r="B252" s="5">
        <v>4612</v>
      </c>
    </row>
    <row r="253" spans="1:2" x14ac:dyDescent="0.2">
      <c r="A253" t="s">
        <v>4</v>
      </c>
      <c r="B253" s="5">
        <v>4.3</v>
      </c>
    </row>
    <row r="254" spans="1:2" x14ac:dyDescent="0.2">
      <c r="A254" t="s">
        <v>5</v>
      </c>
      <c r="B254" s="5" t="s">
        <v>475</v>
      </c>
    </row>
    <row r="255" spans="1:2" x14ac:dyDescent="0.2">
      <c r="A255" t="s">
        <v>7</v>
      </c>
      <c r="B255" s="5" t="s">
        <v>299</v>
      </c>
    </row>
    <row r="256" spans="1:2" x14ac:dyDescent="0.2">
      <c r="A256" t="s">
        <v>9</v>
      </c>
      <c r="B256" s="5" t="s">
        <v>476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477</v>
      </c>
    </row>
    <row r="260" spans="1:2" x14ac:dyDescent="0.2">
      <c r="A260" t="s">
        <v>3</v>
      </c>
      <c r="B260" s="5">
        <v>4593</v>
      </c>
    </row>
    <row r="261" spans="1:2" x14ac:dyDescent="0.2">
      <c r="A261" t="s">
        <v>4</v>
      </c>
      <c r="B261" s="5">
        <v>4.5</v>
      </c>
    </row>
    <row r="262" spans="1:2" x14ac:dyDescent="0.2">
      <c r="A262" t="s">
        <v>5</v>
      </c>
      <c r="B262" s="5" t="s">
        <v>478</v>
      </c>
    </row>
    <row r="263" spans="1:2" x14ac:dyDescent="0.2">
      <c r="A263" t="s">
        <v>7</v>
      </c>
      <c r="B263" s="5" t="s">
        <v>244</v>
      </c>
    </row>
    <row r="264" spans="1:2" x14ac:dyDescent="0.2">
      <c r="A264" t="s">
        <v>9</v>
      </c>
      <c r="B264" s="5" t="s">
        <v>479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480</v>
      </c>
    </row>
    <row r="268" spans="1:2" x14ac:dyDescent="0.2">
      <c r="A268" t="s">
        <v>3</v>
      </c>
      <c r="B268" s="5">
        <v>4545</v>
      </c>
    </row>
    <row r="269" spans="1:2" x14ac:dyDescent="0.2">
      <c r="A269" t="s">
        <v>4</v>
      </c>
      <c r="B269" s="5">
        <v>4.8</v>
      </c>
    </row>
    <row r="270" spans="1:2" x14ac:dyDescent="0.2">
      <c r="A270" t="s">
        <v>5</v>
      </c>
      <c r="B270" s="5" t="s">
        <v>481</v>
      </c>
    </row>
    <row r="271" spans="1:2" x14ac:dyDescent="0.2">
      <c r="A271" t="s">
        <v>7</v>
      </c>
      <c r="B271" s="5" t="s">
        <v>244</v>
      </c>
    </row>
    <row r="272" spans="1:2" x14ac:dyDescent="0.2">
      <c r="A272" t="s">
        <v>9</v>
      </c>
      <c r="B272" s="5" t="s">
        <v>482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483</v>
      </c>
    </row>
    <row r="276" spans="1:2" x14ac:dyDescent="0.2">
      <c r="A276" t="s">
        <v>3</v>
      </c>
      <c r="B276" s="5">
        <v>4535</v>
      </c>
    </row>
    <row r="277" spans="1:2" x14ac:dyDescent="0.2">
      <c r="A277" t="s">
        <v>4</v>
      </c>
      <c r="B277" s="5">
        <v>4.8</v>
      </c>
    </row>
    <row r="278" spans="1:2" x14ac:dyDescent="0.2">
      <c r="A278" t="s">
        <v>5</v>
      </c>
      <c r="B278" s="5" t="s">
        <v>205</v>
      </c>
    </row>
    <row r="279" spans="1:2" x14ac:dyDescent="0.2">
      <c r="A279" t="s">
        <v>7</v>
      </c>
      <c r="B279" s="5" t="s">
        <v>304</v>
      </c>
    </row>
    <row r="280" spans="1:2" x14ac:dyDescent="0.2">
      <c r="A280" t="s">
        <v>9</v>
      </c>
      <c r="B280" s="5" t="s">
        <v>484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485</v>
      </c>
    </row>
    <row r="284" spans="1:2" x14ac:dyDescent="0.2">
      <c r="A284" t="s">
        <v>3</v>
      </c>
      <c r="B284" s="5">
        <v>4483</v>
      </c>
    </row>
    <row r="285" spans="1:2" x14ac:dyDescent="0.2">
      <c r="A285" t="s">
        <v>4</v>
      </c>
      <c r="B285" s="5">
        <v>4.8</v>
      </c>
    </row>
    <row r="286" spans="1:2" x14ac:dyDescent="0.2">
      <c r="A286" t="s">
        <v>5</v>
      </c>
      <c r="B286" s="5" t="s">
        <v>486</v>
      </c>
    </row>
    <row r="287" spans="1:2" x14ac:dyDescent="0.2">
      <c r="A287" t="s">
        <v>7</v>
      </c>
      <c r="B287" s="5" t="s">
        <v>119</v>
      </c>
    </row>
    <row r="288" spans="1:2" x14ac:dyDescent="0.2">
      <c r="A288" t="s">
        <v>9</v>
      </c>
      <c r="B288" s="5" t="s">
        <v>487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488</v>
      </c>
    </row>
    <row r="292" spans="1:2" x14ac:dyDescent="0.2">
      <c r="A292" t="s">
        <v>3</v>
      </c>
      <c r="B292" s="5">
        <v>4430</v>
      </c>
    </row>
    <row r="293" spans="1:2" x14ac:dyDescent="0.2">
      <c r="A293" t="s">
        <v>4</v>
      </c>
      <c r="B293" s="5">
        <v>4.7</v>
      </c>
    </row>
    <row r="294" spans="1:2" x14ac:dyDescent="0.2">
      <c r="A294" t="s">
        <v>5</v>
      </c>
      <c r="B294" s="5" t="s">
        <v>489</v>
      </c>
    </row>
    <row r="295" spans="1:2" x14ac:dyDescent="0.2">
      <c r="A295" t="s">
        <v>7</v>
      </c>
      <c r="B295" s="5" t="s">
        <v>490</v>
      </c>
    </row>
    <row r="296" spans="1:2" x14ac:dyDescent="0.2">
      <c r="A296" t="s">
        <v>9</v>
      </c>
      <c r="B296" s="5" t="s">
        <v>390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491</v>
      </c>
    </row>
    <row r="300" spans="1:2" x14ac:dyDescent="0.2">
      <c r="A300" t="s">
        <v>3</v>
      </c>
      <c r="B300" s="5">
        <v>4417</v>
      </c>
    </row>
    <row r="301" spans="1:2" x14ac:dyDescent="0.2">
      <c r="A301" t="s">
        <v>4</v>
      </c>
      <c r="B301" s="5">
        <v>4.8</v>
      </c>
    </row>
    <row r="302" spans="1:2" x14ac:dyDescent="0.2">
      <c r="A302" t="s">
        <v>5</v>
      </c>
      <c r="B302" s="5" t="s">
        <v>492</v>
      </c>
    </row>
    <row r="303" spans="1:2" x14ac:dyDescent="0.2">
      <c r="A303" t="s">
        <v>7</v>
      </c>
      <c r="B303" s="5" t="s">
        <v>206</v>
      </c>
    </row>
    <row r="304" spans="1:2" x14ac:dyDescent="0.2">
      <c r="A304" t="s">
        <v>9</v>
      </c>
      <c r="B304" s="5" t="s">
        <v>493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494</v>
      </c>
    </row>
    <row r="308" spans="1:2" x14ac:dyDescent="0.2">
      <c r="A308" t="s">
        <v>3</v>
      </c>
      <c r="B308" s="5">
        <v>4366</v>
      </c>
    </row>
    <row r="309" spans="1:2" x14ac:dyDescent="0.2">
      <c r="A309" t="s">
        <v>4</v>
      </c>
      <c r="B309" s="5">
        <v>4.7</v>
      </c>
    </row>
    <row r="310" spans="1:2" x14ac:dyDescent="0.2">
      <c r="A310" t="s">
        <v>5</v>
      </c>
      <c r="B310" s="5" t="s">
        <v>495</v>
      </c>
    </row>
    <row r="311" spans="1:2" x14ac:dyDescent="0.2">
      <c r="A311" t="s">
        <v>7</v>
      </c>
      <c r="B311" s="5" t="s">
        <v>119</v>
      </c>
    </row>
    <row r="312" spans="1:2" x14ac:dyDescent="0.2">
      <c r="A312" t="s">
        <v>9</v>
      </c>
      <c r="B312" s="5" t="s">
        <v>364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496</v>
      </c>
    </row>
    <row r="316" spans="1:2" x14ac:dyDescent="0.2">
      <c r="A316" t="s">
        <v>3</v>
      </c>
      <c r="B316" s="5">
        <v>4300</v>
      </c>
    </row>
    <row r="317" spans="1:2" x14ac:dyDescent="0.2">
      <c r="A317" t="s">
        <v>4</v>
      </c>
      <c r="B317" s="5">
        <v>4.8</v>
      </c>
    </row>
    <row r="318" spans="1:2" x14ac:dyDescent="0.2">
      <c r="A318" t="s">
        <v>5</v>
      </c>
      <c r="B318" s="5" t="s">
        <v>497</v>
      </c>
    </row>
    <row r="319" spans="1:2" x14ac:dyDescent="0.2">
      <c r="A319" t="s">
        <v>7</v>
      </c>
      <c r="B319" s="5" t="s">
        <v>119</v>
      </c>
    </row>
    <row r="320" spans="1:2" x14ac:dyDescent="0.2">
      <c r="A320" t="s">
        <v>9</v>
      </c>
      <c r="B320" s="5" t="s">
        <v>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3D26-6D4C-4AAF-AF46-E28DC11F7D55}">
  <sheetPr codeName="Sheet7">
    <tabColor rgb="FF00B0F0"/>
  </sheetPr>
  <dimension ref="A1:C320"/>
  <sheetViews>
    <sheetView zoomScaleNormal="100" workbookViewId="0">
      <selection activeCell="B1" sqref="B1:B1048576"/>
    </sheetView>
  </sheetViews>
  <sheetFormatPr defaultRowHeight="14.25" x14ac:dyDescent="0.2"/>
  <cols>
    <col min="1" max="1" width="11" bestFit="1" customWidth="1"/>
    <col min="2" max="2" width="7.125" style="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2" ht="15" thickBot="1" x14ac:dyDescent="0.25">
      <c r="A1" s="10" t="str">
        <f>HYPERLINK(INDEX(获取工作表名,1)&amp;"!A"&amp;MATCH("钦州北路店",汇总!B:B,0),"钦州北路店")</f>
        <v>钦州北路店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498</v>
      </c>
    </row>
    <row r="4" spans="1:2" x14ac:dyDescent="0.2">
      <c r="A4" t="s">
        <v>3</v>
      </c>
      <c r="B4" s="5">
        <v>13260</v>
      </c>
    </row>
    <row r="5" spans="1:2" x14ac:dyDescent="0.2">
      <c r="A5" t="s">
        <v>4</v>
      </c>
      <c r="B5" s="5">
        <v>4.7</v>
      </c>
    </row>
    <row r="6" spans="1:2" x14ac:dyDescent="0.2">
      <c r="A6" t="s">
        <v>5</v>
      </c>
      <c r="B6" s="5" t="s">
        <v>499</v>
      </c>
    </row>
    <row r="7" spans="1:2" x14ac:dyDescent="0.2">
      <c r="A7" t="s">
        <v>7</v>
      </c>
      <c r="B7" s="5" t="s">
        <v>13</v>
      </c>
    </row>
    <row r="8" spans="1:2" x14ac:dyDescent="0.2">
      <c r="A8" t="s">
        <v>9</v>
      </c>
      <c r="B8" s="5" t="s">
        <v>500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501</v>
      </c>
    </row>
    <row r="12" spans="1:2" x14ac:dyDescent="0.2">
      <c r="A12" t="s">
        <v>3</v>
      </c>
      <c r="B12" s="5">
        <v>13105</v>
      </c>
    </row>
    <row r="13" spans="1:2" x14ac:dyDescent="0.2">
      <c r="A13" t="s">
        <v>4</v>
      </c>
      <c r="B13" s="5">
        <v>4.5999999999999996</v>
      </c>
    </row>
    <row r="14" spans="1:2" x14ac:dyDescent="0.2">
      <c r="A14" t="s">
        <v>5</v>
      </c>
      <c r="B14" s="5" t="s">
        <v>220</v>
      </c>
    </row>
    <row r="15" spans="1:2" x14ac:dyDescent="0.2">
      <c r="A15" t="s">
        <v>7</v>
      </c>
      <c r="B15" s="5" t="s">
        <v>21</v>
      </c>
    </row>
    <row r="16" spans="1:2" x14ac:dyDescent="0.2">
      <c r="A16" t="s">
        <v>9</v>
      </c>
      <c r="B16" s="5" t="s">
        <v>106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502</v>
      </c>
    </row>
    <row r="20" spans="1:2" x14ac:dyDescent="0.2">
      <c r="A20" t="s">
        <v>3</v>
      </c>
      <c r="B20" s="5">
        <v>11838</v>
      </c>
    </row>
    <row r="21" spans="1:2" x14ac:dyDescent="0.2">
      <c r="A21" t="s">
        <v>4</v>
      </c>
      <c r="B21" s="5">
        <v>4.8</v>
      </c>
    </row>
    <row r="22" spans="1:2" x14ac:dyDescent="0.2">
      <c r="A22" t="s">
        <v>5</v>
      </c>
      <c r="B22" s="5" t="s">
        <v>503</v>
      </c>
    </row>
    <row r="23" spans="1:2" x14ac:dyDescent="0.2">
      <c r="A23" t="s">
        <v>7</v>
      </c>
      <c r="B23" s="5" t="s">
        <v>299</v>
      </c>
    </row>
    <row r="24" spans="1:2" x14ac:dyDescent="0.2">
      <c r="A24" t="s">
        <v>9</v>
      </c>
      <c r="B24" s="5" t="s">
        <v>171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504</v>
      </c>
    </row>
    <row r="28" spans="1:2" x14ac:dyDescent="0.2">
      <c r="A28" t="s">
        <v>3</v>
      </c>
      <c r="B28" s="5">
        <v>11503</v>
      </c>
    </row>
    <row r="29" spans="1:2" x14ac:dyDescent="0.2">
      <c r="A29" t="s">
        <v>4</v>
      </c>
      <c r="B29" s="5">
        <v>4.8</v>
      </c>
    </row>
    <row r="30" spans="1:2" x14ac:dyDescent="0.2">
      <c r="A30" t="s">
        <v>5</v>
      </c>
      <c r="B30" s="5" t="s">
        <v>505</v>
      </c>
    </row>
    <row r="31" spans="1:2" x14ac:dyDescent="0.2">
      <c r="A31" t="s">
        <v>7</v>
      </c>
      <c r="B31" s="5" t="s">
        <v>73</v>
      </c>
    </row>
    <row r="32" spans="1:2" x14ac:dyDescent="0.2">
      <c r="A32" t="s">
        <v>9</v>
      </c>
      <c r="B32" s="5" t="s">
        <v>18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506</v>
      </c>
    </row>
    <row r="36" spans="1:2" x14ac:dyDescent="0.2">
      <c r="A36" t="s">
        <v>3</v>
      </c>
      <c r="B36" s="5">
        <v>9916</v>
      </c>
    </row>
    <row r="37" spans="1:2" x14ac:dyDescent="0.2">
      <c r="A37" t="s">
        <v>4</v>
      </c>
      <c r="B37" s="5">
        <v>4.7</v>
      </c>
    </row>
    <row r="38" spans="1:2" x14ac:dyDescent="0.2">
      <c r="A38" t="s">
        <v>5</v>
      </c>
      <c r="B38" s="5" t="s">
        <v>507</v>
      </c>
    </row>
    <row r="39" spans="1:2" x14ac:dyDescent="0.2">
      <c r="A39" t="s">
        <v>7</v>
      </c>
      <c r="B39" s="5" t="s">
        <v>271</v>
      </c>
    </row>
    <row r="40" spans="1:2" x14ac:dyDescent="0.2">
      <c r="A40" t="s">
        <v>9</v>
      </c>
      <c r="B40" s="5" t="s">
        <v>66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508</v>
      </c>
    </row>
    <row r="44" spans="1:2" x14ac:dyDescent="0.2">
      <c r="A44" t="s">
        <v>3</v>
      </c>
      <c r="B44" s="5">
        <v>9520</v>
      </c>
    </row>
    <row r="45" spans="1:2" x14ac:dyDescent="0.2">
      <c r="A45" t="s">
        <v>4</v>
      </c>
      <c r="B45" s="5">
        <v>4.7</v>
      </c>
    </row>
    <row r="46" spans="1:2" x14ac:dyDescent="0.2">
      <c r="A46" t="s">
        <v>5</v>
      </c>
      <c r="B46" s="5" t="s">
        <v>108</v>
      </c>
    </row>
    <row r="47" spans="1:2" x14ac:dyDescent="0.2">
      <c r="A47" t="s">
        <v>7</v>
      </c>
      <c r="B47" s="5" t="s">
        <v>112</v>
      </c>
    </row>
    <row r="48" spans="1:2" x14ac:dyDescent="0.2">
      <c r="A48" t="s">
        <v>9</v>
      </c>
      <c r="B48" s="5" t="s">
        <v>509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510</v>
      </c>
    </row>
    <row r="52" spans="1:2" x14ac:dyDescent="0.2">
      <c r="A52" t="s">
        <v>3</v>
      </c>
      <c r="B52" s="5">
        <v>8995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511</v>
      </c>
    </row>
    <row r="55" spans="1:2" x14ac:dyDescent="0.2">
      <c r="A55" t="s">
        <v>7</v>
      </c>
      <c r="B55" s="5" t="s">
        <v>299</v>
      </c>
    </row>
    <row r="56" spans="1:2" x14ac:dyDescent="0.2">
      <c r="A56" t="s">
        <v>9</v>
      </c>
      <c r="B56" s="5" t="s">
        <v>512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513</v>
      </c>
    </row>
    <row r="60" spans="1:2" x14ac:dyDescent="0.2">
      <c r="A60" t="s">
        <v>3</v>
      </c>
      <c r="B60" s="5">
        <v>8535</v>
      </c>
    </row>
    <row r="61" spans="1:2" x14ac:dyDescent="0.2">
      <c r="A61" t="s">
        <v>4</v>
      </c>
      <c r="B61" s="5">
        <v>4.7</v>
      </c>
    </row>
    <row r="62" spans="1:2" x14ac:dyDescent="0.2">
      <c r="A62" t="s">
        <v>5</v>
      </c>
      <c r="B62" s="5" t="s">
        <v>514</v>
      </c>
    </row>
    <row r="63" spans="1:2" x14ac:dyDescent="0.2">
      <c r="A63" t="s">
        <v>7</v>
      </c>
      <c r="B63" s="5" t="s">
        <v>271</v>
      </c>
    </row>
    <row r="64" spans="1:2" x14ac:dyDescent="0.2">
      <c r="A64" t="s">
        <v>9</v>
      </c>
      <c r="B64" s="5" t="s">
        <v>515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516</v>
      </c>
    </row>
    <row r="68" spans="1:2" x14ac:dyDescent="0.2">
      <c r="A68" t="s">
        <v>3</v>
      </c>
      <c r="B68" s="5">
        <v>8453</v>
      </c>
    </row>
    <row r="69" spans="1:2" x14ac:dyDescent="0.2">
      <c r="A69" t="s">
        <v>4</v>
      </c>
      <c r="B69" s="5">
        <v>4.5999999999999996</v>
      </c>
    </row>
    <row r="70" spans="1:2" x14ac:dyDescent="0.2">
      <c r="A70" t="s">
        <v>5</v>
      </c>
      <c r="B70" s="5" t="s">
        <v>68</v>
      </c>
    </row>
    <row r="71" spans="1:2" x14ac:dyDescent="0.2">
      <c r="A71" t="s">
        <v>7</v>
      </c>
      <c r="B71" s="5" t="s">
        <v>29</v>
      </c>
    </row>
    <row r="72" spans="1:2" x14ac:dyDescent="0.2">
      <c r="A72" t="s">
        <v>9</v>
      </c>
      <c r="B72" s="5" t="s">
        <v>517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518</v>
      </c>
    </row>
    <row r="76" spans="1:2" x14ac:dyDescent="0.2">
      <c r="A76" t="s">
        <v>3</v>
      </c>
      <c r="B76" s="5">
        <v>8385</v>
      </c>
    </row>
    <row r="77" spans="1:2" x14ac:dyDescent="0.2">
      <c r="A77" t="s">
        <v>4</v>
      </c>
      <c r="B77" s="5">
        <v>4.7</v>
      </c>
    </row>
    <row r="78" spans="1:2" x14ac:dyDescent="0.2">
      <c r="A78" t="s">
        <v>5</v>
      </c>
      <c r="B78" s="5" t="s">
        <v>111</v>
      </c>
    </row>
    <row r="79" spans="1:2" x14ac:dyDescent="0.2">
      <c r="A79" t="s">
        <v>7</v>
      </c>
      <c r="B79" s="5" t="s">
        <v>13</v>
      </c>
    </row>
    <row r="80" spans="1:2" x14ac:dyDescent="0.2">
      <c r="A80" t="s">
        <v>9</v>
      </c>
      <c r="B80" s="5" t="s">
        <v>519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520</v>
      </c>
    </row>
    <row r="84" spans="1:2" x14ac:dyDescent="0.2">
      <c r="A84" t="s">
        <v>3</v>
      </c>
      <c r="B84" s="5">
        <v>7987</v>
      </c>
    </row>
    <row r="85" spans="1:2" x14ac:dyDescent="0.2">
      <c r="A85" t="s">
        <v>4</v>
      </c>
      <c r="B85" s="5">
        <v>4.8</v>
      </c>
    </row>
    <row r="86" spans="1:2" x14ac:dyDescent="0.2">
      <c r="A86" t="s">
        <v>5</v>
      </c>
      <c r="B86" s="5" t="s">
        <v>521</v>
      </c>
    </row>
    <row r="87" spans="1:2" x14ac:dyDescent="0.2">
      <c r="A87" t="s">
        <v>7</v>
      </c>
      <c r="B87" s="5" t="s">
        <v>89</v>
      </c>
    </row>
    <row r="88" spans="1:2" x14ac:dyDescent="0.2">
      <c r="A88" t="s">
        <v>9</v>
      </c>
      <c r="B88" s="5" t="s">
        <v>86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522</v>
      </c>
    </row>
    <row r="92" spans="1:2" x14ac:dyDescent="0.2">
      <c r="A92" t="s">
        <v>3</v>
      </c>
      <c r="B92" s="5">
        <v>7739</v>
      </c>
    </row>
    <row r="93" spans="1:2" x14ac:dyDescent="0.2">
      <c r="A93" t="s">
        <v>4</v>
      </c>
      <c r="B93" s="5">
        <v>4.8</v>
      </c>
    </row>
    <row r="94" spans="1:2" x14ac:dyDescent="0.2">
      <c r="A94" t="s">
        <v>5</v>
      </c>
      <c r="B94" s="5" t="s">
        <v>523</v>
      </c>
    </row>
    <row r="95" spans="1:2" x14ac:dyDescent="0.2">
      <c r="A95" t="s">
        <v>7</v>
      </c>
      <c r="B95" s="5" t="s">
        <v>337</v>
      </c>
    </row>
    <row r="96" spans="1:2" x14ac:dyDescent="0.2">
      <c r="A96" t="s">
        <v>9</v>
      </c>
      <c r="B96" s="5" t="s">
        <v>41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524</v>
      </c>
    </row>
    <row r="100" spans="1:2" x14ac:dyDescent="0.2">
      <c r="A100" t="s">
        <v>3</v>
      </c>
      <c r="B100" s="5">
        <v>7722</v>
      </c>
    </row>
    <row r="101" spans="1:2" x14ac:dyDescent="0.2">
      <c r="A101" t="s">
        <v>4</v>
      </c>
      <c r="B101" s="5">
        <v>4.5999999999999996</v>
      </c>
    </row>
    <row r="102" spans="1:2" x14ac:dyDescent="0.2">
      <c r="A102" t="s">
        <v>5</v>
      </c>
      <c r="B102" s="5" t="s">
        <v>525</v>
      </c>
    </row>
    <row r="103" spans="1:2" x14ac:dyDescent="0.2">
      <c r="A103" t="s">
        <v>7</v>
      </c>
      <c r="B103" s="5" t="s">
        <v>77</v>
      </c>
    </row>
    <row r="104" spans="1:2" x14ac:dyDescent="0.2">
      <c r="A104" t="s">
        <v>9</v>
      </c>
      <c r="B104" s="5" t="s">
        <v>526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527</v>
      </c>
    </row>
    <row r="108" spans="1:2" x14ac:dyDescent="0.2">
      <c r="A108" t="s">
        <v>3</v>
      </c>
      <c r="B108" s="5">
        <v>7645</v>
      </c>
    </row>
    <row r="109" spans="1:2" x14ac:dyDescent="0.2">
      <c r="A109" t="s">
        <v>4</v>
      </c>
      <c r="B109" s="5">
        <v>4.7</v>
      </c>
    </row>
    <row r="110" spans="1:2" x14ac:dyDescent="0.2">
      <c r="A110" t="s">
        <v>5</v>
      </c>
      <c r="B110" s="5" t="s">
        <v>528</v>
      </c>
    </row>
    <row r="111" spans="1:2" x14ac:dyDescent="0.2">
      <c r="A111" t="s">
        <v>7</v>
      </c>
      <c r="B111" s="5" t="s">
        <v>112</v>
      </c>
    </row>
    <row r="112" spans="1:2" x14ac:dyDescent="0.2">
      <c r="A112" t="s">
        <v>9</v>
      </c>
      <c r="B112" s="5" t="s">
        <v>529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530</v>
      </c>
    </row>
    <row r="116" spans="1:2" x14ac:dyDescent="0.2">
      <c r="A116" t="s">
        <v>3</v>
      </c>
      <c r="B116" s="5">
        <v>7381</v>
      </c>
    </row>
    <row r="117" spans="1:2" x14ac:dyDescent="0.2">
      <c r="A117" t="s">
        <v>4</v>
      </c>
      <c r="B117" s="5">
        <v>4.8</v>
      </c>
    </row>
    <row r="118" spans="1:2" x14ac:dyDescent="0.2">
      <c r="A118" t="s">
        <v>5</v>
      </c>
      <c r="B118" s="5" t="s">
        <v>531</v>
      </c>
    </row>
    <row r="119" spans="1:2" x14ac:dyDescent="0.2">
      <c r="A119" t="s">
        <v>7</v>
      </c>
      <c r="B119" s="5" t="s">
        <v>271</v>
      </c>
    </row>
    <row r="120" spans="1:2" x14ac:dyDescent="0.2">
      <c r="A120" t="s">
        <v>9</v>
      </c>
      <c r="B120" s="5" t="s">
        <v>390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46</v>
      </c>
    </row>
    <row r="124" spans="1:2" x14ac:dyDescent="0.2">
      <c r="A124" t="s">
        <v>3</v>
      </c>
      <c r="B124" s="5">
        <v>7297</v>
      </c>
    </row>
    <row r="125" spans="1:2" x14ac:dyDescent="0.2">
      <c r="A125" t="s">
        <v>4</v>
      </c>
      <c r="B125" s="5">
        <v>4.8</v>
      </c>
    </row>
    <row r="126" spans="1:2" x14ac:dyDescent="0.2">
      <c r="A126" t="s">
        <v>5</v>
      </c>
      <c r="B126" s="5" t="s">
        <v>28</v>
      </c>
    </row>
    <row r="127" spans="1:2" x14ac:dyDescent="0.2">
      <c r="A127" t="s">
        <v>7</v>
      </c>
      <c r="B127" s="5" t="s">
        <v>48</v>
      </c>
    </row>
    <row r="128" spans="1:2" x14ac:dyDescent="0.2">
      <c r="A128" t="s">
        <v>9</v>
      </c>
      <c r="B128" s="5" t="s">
        <v>49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532</v>
      </c>
    </row>
    <row r="132" spans="1:2" x14ac:dyDescent="0.2">
      <c r="A132" t="s">
        <v>3</v>
      </c>
      <c r="B132" s="5">
        <v>7203</v>
      </c>
    </row>
    <row r="133" spans="1:2" x14ac:dyDescent="0.2">
      <c r="A133" t="s">
        <v>4</v>
      </c>
      <c r="B133" s="5">
        <v>4.4000000000000004</v>
      </c>
    </row>
    <row r="134" spans="1:2" x14ac:dyDescent="0.2">
      <c r="A134" t="s">
        <v>5</v>
      </c>
      <c r="B134" s="5" t="s">
        <v>533</v>
      </c>
    </row>
    <row r="135" spans="1:2" x14ac:dyDescent="0.2">
      <c r="A135" t="s">
        <v>7</v>
      </c>
      <c r="B135" s="5" t="s">
        <v>534</v>
      </c>
    </row>
    <row r="136" spans="1:2" x14ac:dyDescent="0.2">
      <c r="A136" t="s">
        <v>9</v>
      </c>
      <c r="B136" s="5" t="s">
        <v>535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536</v>
      </c>
    </row>
    <row r="140" spans="1:2" x14ac:dyDescent="0.2">
      <c r="A140" t="s">
        <v>3</v>
      </c>
      <c r="B140" s="5">
        <v>7178</v>
      </c>
    </row>
    <row r="141" spans="1:2" x14ac:dyDescent="0.2">
      <c r="A141" t="s">
        <v>4</v>
      </c>
      <c r="B141" s="5">
        <v>4.8</v>
      </c>
    </row>
    <row r="142" spans="1:2" x14ac:dyDescent="0.2">
      <c r="A142" t="s">
        <v>5</v>
      </c>
      <c r="B142" s="5" t="s">
        <v>537</v>
      </c>
    </row>
    <row r="143" spans="1:2" x14ac:dyDescent="0.2">
      <c r="A143" t="s">
        <v>7</v>
      </c>
      <c r="B143" s="5" t="s">
        <v>538</v>
      </c>
    </row>
    <row r="144" spans="1:2" x14ac:dyDescent="0.2">
      <c r="A144" t="s">
        <v>9</v>
      </c>
      <c r="B144" s="5" t="s">
        <v>539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540</v>
      </c>
    </row>
    <row r="148" spans="1:2" x14ac:dyDescent="0.2">
      <c r="A148" t="s">
        <v>3</v>
      </c>
      <c r="B148" s="5">
        <v>7176</v>
      </c>
    </row>
    <row r="149" spans="1:2" x14ac:dyDescent="0.2">
      <c r="A149" t="s">
        <v>4</v>
      </c>
      <c r="B149" s="5">
        <v>4.5999999999999996</v>
      </c>
    </row>
    <row r="150" spans="1:2" x14ac:dyDescent="0.2">
      <c r="A150" t="s">
        <v>5</v>
      </c>
      <c r="B150" s="5" t="s">
        <v>541</v>
      </c>
    </row>
    <row r="151" spans="1:2" x14ac:dyDescent="0.2">
      <c r="A151" t="s">
        <v>7</v>
      </c>
      <c r="B151" s="5" t="s">
        <v>25</v>
      </c>
    </row>
    <row r="152" spans="1:2" x14ac:dyDescent="0.2">
      <c r="A152" t="s">
        <v>9</v>
      </c>
      <c r="B152" s="5" t="s">
        <v>364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542</v>
      </c>
    </row>
    <row r="156" spans="1:2" x14ac:dyDescent="0.2">
      <c r="A156" t="s">
        <v>3</v>
      </c>
      <c r="B156" s="5">
        <v>7143</v>
      </c>
    </row>
    <row r="157" spans="1:2" x14ac:dyDescent="0.2">
      <c r="A157" t="s">
        <v>4</v>
      </c>
      <c r="B157" s="5">
        <v>4.5999999999999996</v>
      </c>
    </row>
    <row r="158" spans="1:2" x14ac:dyDescent="0.2">
      <c r="A158" t="s">
        <v>5</v>
      </c>
      <c r="B158" s="5" t="s">
        <v>543</v>
      </c>
    </row>
    <row r="159" spans="1:2" x14ac:dyDescent="0.2">
      <c r="A159" t="s">
        <v>7</v>
      </c>
      <c r="B159" s="5" t="s">
        <v>96</v>
      </c>
    </row>
    <row r="160" spans="1:2" x14ac:dyDescent="0.2">
      <c r="A160" t="s">
        <v>9</v>
      </c>
      <c r="B160" s="5" t="s">
        <v>544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545</v>
      </c>
    </row>
    <row r="164" spans="1:2" x14ac:dyDescent="0.2">
      <c r="A164" t="s">
        <v>3</v>
      </c>
      <c r="B164" s="5">
        <v>7116</v>
      </c>
    </row>
    <row r="165" spans="1:2" x14ac:dyDescent="0.2">
      <c r="A165" t="s">
        <v>4</v>
      </c>
      <c r="B165" s="5">
        <v>4.5</v>
      </c>
    </row>
    <row r="166" spans="1:2" x14ac:dyDescent="0.2">
      <c r="A166" t="s">
        <v>5</v>
      </c>
      <c r="B166" s="5" t="s">
        <v>546</v>
      </c>
    </row>
    <row r="167" spans="1:2" x14ac:dyDescent="0.2">
      <c r="A167" t="s">
        <v>7</v>
      </c>
      <c r="B167" s="5" t="s">
        <v>547</v>
      </c>
    </row>
    <row r="168" spans="1:2" x14ac:dyDescent="0.2">
      <c r="A168" t="s">
        <v>9</v>
      </c>
      <c r="B168" s="5" t="s">
        <v>548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549</v>
      </c>
    </row>
    <row r="172" spans="1:2" x14ac:dyDescent="0.2">
      <c r="A172" t="s">
        <v>3</v>
      </c>
      <c r="B172" s="5">
        <v>7064</v>
      </c>
    </row>
    <row r="173" spans="1:2" x14ac:dyDescent="0.2">
      <c r="A173" t="s">
        <v>4</v>
      </c>
      <c r="B173" s="5">
        <v>4.8</v>
      </c>
    </row>
    <row r="174" spans="1:2" x14ac:dyDescent="0.2">
      <c r="A174" t="s">
        <v>5</v>
      </c>
      <c r="B174" s="5" t="s">
        <v>550</v>
      </c>
    </row>
    <row r="175" spans="1:2" x14ac:dyDescent="0.2">
      <c r="A175" t="s">
        <v>7</v>
      </c>
      <c r="B175" s="5" t="s">
        <v>21</v>
      </c>
    </row>
    <row r="176" spans="1:2" x14ac:dyDescent="0.2">
      <c r="A176" t="s">
        <v>9</v>
      </c>
      <c r="B176" s="5" t="s">
        <v>551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54</v>
      </c>
    </row>
    <row r="180" spans="1:2" x14ac:dyDescent="0.2">
      <c r="A180" t="s">
        <v>3</v>
      </c>
      <c r="B180" s="5">
        <v>7058</v>
      </c>
    </row>
    <row r="181" spans="1:2" x14ac:dyDescent="0.2">
      <c r="A181" t="s">
        <v>4</v>
      </c>
      <c r="B181" s="5">
        <v>4.8</v>
      </c>
    </row>
    <row r="182" spans="1:2" x14ac:dyDescent="0.2">
      <c r="A182" t="s">
        <v>5</v>
      </c>
      <c r="B182" s="5" t="s">
        <v>552</v>
      </c>
    </row>
    <row r="183" spans="1:2" x14ac:dyDescent="0.2">
      <c r="A183" t="s">
        <v>7</v>
      </c>
      <c r="B183" s="5" t="s">
        <v>56</v>
      </c>
    </row>
    <row r="184" spans="1:2" x14ac:dyDescent="0.2">
      <c r="A184" t="s">
        <v>9</v>
      </c>
      <c r="B184" s="5" t="s">
        <v>57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553</v>
      </c>
    </row>
    <row r="188" spans="1:2" x14ac:dyDescent="0.2">
      <c r="A188" t="s">
        <v>3</v>
      </c>
      <c r="B188" s="5">
        <v>7047</v>
      </c>
    </row>
    <row r="189" spans="1:2" x14ac:dyDescent="0.2">
      <c r="A189" t="s">
        <v>4</v>
      </c>
      <c r="B189" s="5">
        <v>4.8</v>
      </c>
    </row>
    <row r="190" spans="1:2" x14ac:dyDescent="0.2">
      <c r="A190" t="s">
        <v>5</v>
      </c>
      <c r="B190" s="5" t="s">
        <v>108</v>
      </c>
    </row>
    <row r="191" spans="1:2" x14ac:dyDescent="0.2">
      <c r="A191" t="s">
        <v>7</v>
      </c>
      <c r="B191" s="5" t="s">
        <v>8</v>
      </c>
    </row>
    <row r="192" spans="1:2" x14ac:dyDescent="0.2">
      <c r="A192" t="s">
        <v>9</v>
      </c>
      <c r="B192" s="5" t="s">
        <v>554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555</v>
      </c>
    </row>
    <row r="196" spans="1:2" x14ac:dyDescent="0.2">
      <c r="A196" t="s">
        <v>3</v>
      </c>
      <c r="B196" s="5">
        <v>7046</v>
      </c>
    </row>
    <row r="197" spans="1:2" x14ac:dyDescent="0.2">
      <c r="A197" t="s">
        <v>4</v>
      </c>
      <c r="B197" s="5">
        <v>4.7</v>
      </c>
    </row>
    <row r="198" spans="1:2" x14ac:dyDescent="0.2">
      <c r="A198" t="s">
        <v>5</v>
      </c>
      <c r="B198" s="5" t="s">
        <v>556</v>
      </c>
    </row>
    <row r="199" spans="1:2" x14ac:dyDescent="0.2">
      <c r="A199" t="s">
        <v>7</v>
      </c>
      <c r="B199" s="5" t="s">
        <v>112</v>
      </c>
    </row>
    <row r="200" spans="1:2" x14ac:dyDescent="0.2">
      <c r="A200" t="s">
        <v>9</v>
      </c>
      <c r="B200" s="5" t="s">
        <v>557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58</v>
      </c>
    </row>
    <row r="204" spans="1:2" x14ac:dyDescent="0.2">
      <c r="A204" t="s">
        <v>3</v>
      </c>
      <c r="B204" s="5">
        <v>7026</v>
      </c>
    </row>
    <row r="205" spans="1:2" x14ac:dyDescent="0.2">
      <c r="A205" t="s">
        <v>4</v>
      </c>
      <c r="B205" s="5">
        <v>4.7</v>
      </c>
    </row>
    <row r="206" spans="1:2" x14ac:dyDescent="0.2">
      <c r="A206" t="s">
        <v>5</v>
      </c>
      <c r="B206" s="5" t="s">
        <v>558</v>
      </c>
    </row>
    <row r="207" spans="1:2" x14ac:dyDescent="0.2">
      <c r="A207" t="s">
        <v>7</v>
      </c>
      <c r="B207" s="5" t="s">
        <v>36</v>
      </c>
    </row>
    <row r="208" spans="1:2" x14ac:dyDescent="0.2">
      <c r="A208" t="s">
        <v>9</v>
      </c>
      <c r="B208" s="5" t="s">
        <v>60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559</v>
      </c>
    </row>
    <row r="212" spans="1:2" x14ac:dyDescent="0.2">
      <c r="A212" t="s">
        <v>3</v>
      </c>
      <c r="B212" s="5">
        <v>6870</v>
      </c>
    </row>
    <row r="213" spans="1:2" x14ac:dyDescent="0.2">
      <c r="A213" t="s">
        <v>4</v>
      </c>
      <c r="B213" s="5">
        <v>4.7</v>
      </c>
    </row>
    <row r="214" spans="1:2" x14ac:dyDescent="0.2">
      <c r="A214" t="s">
        <v>5</v>
      </c>
      <c r="B214" s="5" t="s">
        <v>560</v>
      </c>
    </row>
    <row r="215" spans="1:2" x14ac:dyDescent="0.2">
      <c r="A215" t="s">
        <v>7</v>
      </c>
      <c r="B215" s="5" t="s">
        <v>194</v>
      </c>
    </row>
    <row r="216" spans="1:2" x14ac:dyDescent="0.2">
      <c r="A216" t="s">
        <v>9</v>
      </c>
      <c r="B216" s="5" t="s">
        <v>561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562</v>
      </c>
    </row>
    <row r="220" spans="1:2" x14ac:dyDescent="0.2">
      <c r="A220" t="s">
        <v>3</v>
      </c>
      <c r="B220" s="5">
        <v>6844</v>
      </c>
    </row>
    <row r="221" spans="1:2" x14ac:dyDescent="0.2">
      <c r="A221" t="s">
        <v>4</v>
      </c>
      <c r="B221" s="5">
        <v>4.8</v>
      </c>
    </row>
    <row r="222" spans="1:2" x14ac:dyDescent="0.2">
      <c r="A222" t="s">
        <v>5</v>
      </c>
      <c r="B222" s="5" t="s">
        <v>270</v>
      </c>
    </row>
    <row r="223" spans="1:2" x14ac:dyDescent="0.2">
      <c r="A223" t="s">
        <v>7</v>
      </c>
      <c r="B223" s="5" t="s">
        <v>538</v>
      </c>
    </row>
    <row r="224" spans="1:2" x14ac:dyDescent="0.2">
      <c r="A224" t="s">
        <v>9</v>
      </c>
      <c r="B224" s="5" t="s">
        <v>432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563</v>
      </c>
    </row>
    <row r="228" spans="1:2" x14ac:dyDescent="0.2">
      <c r="A228" t="s">
        <v>3</v>
      </c>
      <c r="B228" s="5">
        <v>6831</v>
      </c>
    </row>
    <row r="229" spans="1:2" x14ac:dyDescent="0.2">
      <c r="A229" t="s">
        <v>4</v>
      </c>
      <c r="B229" s="5">
        <v>4.7</v>
      </c>
    </row>
    <row r="230" spans="1:2" x14ac:dyDescent="0.2">
      <c r="A230" t="s">
        <v>5</v>
      </c>
      <c r="B230" s="5" t="s">
        <v>124</v>
      </c>
    </row>
    <row r="231" spans="1:2" x14ac:dyDescent="0.2">
      <c r="A231" t="s">
        <v>7</v>
      </c>
      <c r="B231" s="5" t="s">
        <v>77</v>
      </c>
    </row>
    <row r="232" spans="1:2" x14ac:dyDescent="0.2">
      <c r="A232" t="s">
        <v>9</v>
      </c>
      <c r="B232" s="5" t="s">
        <v>186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564</v>
      </c>
    </row>
    <row r="236" spans="1:2" x14ac:dyDescent="0.2">
      <c r="A236" t="s">
        <v>3</v>
      </c>
      <c r="B236" s="5">
        <v>6797</v>
      </c>
    </row>
    <row r="237" spans="1:2" x14ac:dyDescent="0.2">
      <c r="A237" t="s">
        <v>4</v>
      </c>
      <c r="B237" s="5">
        <v>4.8</v>
      </c>
    </row>
    <row r="238" spans="1:2" x14ac:dyDescent="0.2">
      <c r="A238" t="s">
        <v>5</v>
      </c>
      <c r="B238" s="5" t="s">
        <v>565</v>
      </c>
    </row>
    <row r="239" spans="1:2" x14ac:dyDescent="0.2">
      <c r="A239" t="s">
        <v>7</v>
      </c>
      <c r="B239" s="5" t="s">
        <v>77</v>
      </c>
    </row>
    <row r="240" spans="1:2" x14ac:dyDescent="0.2">
      <c r="A240" t="s">
        <v>9</v>
      </c>
      <c r="B240" s="5" t="s">
        <v>198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566</v>
      </c>
    </row>
    <row r="244" spans="1:2" x14ac:dyDescent="0.2">
      <c r="A244" t="s">
        <v>3</v>
      </c>
      <c r="B244" s="5">
        <v>6624</v>
      </c>
    </row>
    <row r="245" spans="1:2" x14ac:dyDescent="0.2">
      <c r="A245" t="s">
        <v>4</v>
      </c>
      <c r="B245" s="5">
        <v>4.7</v>
      </c>
    </row>
    <row r="246" spans="1:2" x14ac:dyDescent="0.2">
      <c r="A246" t="s">
        <v>5</v>
      </c>
      <c r="B246" s="5" t="s">
        <v>567</v>
      </c>
    </row>
    <row r="247" spans="1:2" x14ac:dyDescent="0.2">
      <c r="A247" t="s">
        <v>7</v>
      </c>
      <c r="B247" s="5" t="s">
        <v>89</v>
      </c>
    </row>
    <row r="248" spans="1:2" x14ac:dyDescent="0.2">
      <c r="A248" t="s">
        <v>9</v>
      </c>
      <c r="B248" s="5" t="s">
        <v>37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568</v>
      </c>
    </row>
    <row r="252" spans="1:2" x14ac:dyDescent="0.2">
      <c r="A252" t="s">
        <v>3</v>
      </c>
      <c r="B252" s="5">
        <v>6609</v>
      </c>
    </row>
    <row r="253" spans="1:2" x14ac:dyDescent="0.2">
      <c r="A253" t="s">
        <v>4</v>
      </c>
      <c r="B253" s="5">
        <v>4.5</v>
      </c>
    </row>
    <row r="254" spans="1:2" x14ac:dyDescent="0.2">
      <c r="A254" t="s">
        <v>5</v>
      </c>
      <c r="B254" s="5" t="s">
        <v>569</v>
      </c>
    </row>
    <row r="255" spans="1:2" x14ac:dyDescent="0.2">
      <c r="A255" t="s">
        <v>7</v>
      </c>
      <c r="B255" s="5" t="s">
        <v>21</v>
      </c>
    </row>
    <row r="256" spans="1:2" x14ac:dyDescent="0.2">
      <c r="A256" t="s">
        <v>9</v>
      </c>
      <c r="B256" s="5" t="s">
        <v>570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571</v>
      </c>
    </row>
    <row r="260" spans="1:2" x14ac:dyDescent="0.2">
      <c r="A260" t="s">
        <v>3</v>
      </c>
      <c r="B260" s="5">
        <v>6476</v>
      </c>
    </row>
    <row r="261" spans="1:2" x14ac:dyDescent="0.2">
      <c r="A261" t="s">
        <v>4</v>
      </c>
      <c r="B261" s="5">
        <v>4.4000000000000004</v>
      </c>
    </row>
    <row r="262" spans="1:2" x14ac:dyDescent="0.2">
      <c r="A262" t="s">
        <v>5</v>
      </c>
      <c r="B262" s="5" t="s">
        <v>572</v>
      </c>
    </row>
    <row r="263" spans="1:2" x14ac:dyDescent="0.2">
      <c r="A263" t="s">
        <v>7</v>
      </c>
      <c r="B263" s="5" t="s">
        <v>344</v>
      </c>
    </row>
    <row r="264" spans="1:2" x14ac:dyDescent="0.2">
      <c r="A264" t="s">
        <v>9</v>
      </c>
      <c r="B264" s="5" t="s">
        <v>573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574</v>
      </c>
    </row>
    <row r="268" spans="1:2" x14ac:dyDescent="0.2">
      <c r="A268" t="s">
        <v>3</v>
      </c>
      <c r="B268" s="5">
        <v>6364</v>
      </c>
    </row>
    <row r="269" spans="1:2" x14ac:dyDescent="0.2">
      <c r="A269" t="s">
        <v>4</v>
      </c>
      <c r="B269" s="5">
        <v>4.5</v>
      </c>
    </row>
    <row r="270" spans="1:2" x14ac:dyDescent="0.2">
      <c r="A270" t="s">
        <v>5</v>
      </c>
      <c r="B270" s="5" t="s">
        <v>575</v>
      </c>
    </row>
    <row r="271" spans="1:2" x14ac:dyDescent="0.2">
      <c r="A271" t="s">
        <v>7</v>
      </c>
      <c r="B271" s="5" t="s">
        <v>52</v>
      </c>
    </row>
    <row r="272" spans="1:2" x14ac:dyDescent="0.2">
      <c r="A272" t="s">
        <v>9</v>
      </c>
      <c r="B272" s="5" t="s">
        <v>576</v>
      </c>
    </row>
    <row r="274" spans="1:3" x14ac:dyDescent="0.2">
      <c r="A274" t="s">
        <v>0</v>
      </c>
      <c r="B274" s="5">
        <v>35</v>
      </c>
    </row>
    <row r="275" spans="1:3" x14ac:dyDescent="0.2">
      <c r="A275" t="s">
        <v>1</v>
      </c>
      <c r="B275" s="5" t="s">
        <v>577</v>
      </c>
    </row>
    <row r="276" spans="1:3" x14ac:dyDescent="0.2">
      <c r="A276" t="s">
        <v>3</v>
      </c>
      <c r="B276" s="5">
        <v>6017</v>
      </c>
    </row>
    <row r="277" spans="1:3" x14ac:dyDescent="0.2">
      <c r="A277" t="s">
        <v>4</v>
      </c>
      <c r="B277" s="5">
        <v>4.7</v>
      </c>
    </row>
    <row r="278" spans="1:3" x14ac:dyDescent="0.2">
      <c r="A278" t="s">
        <v>5</v>
      </c>
      <c r="B278" s="5" t="s">
        <v>578</v>
      </c>
    </row>
    <row r="279" spans="1:3" x14ac:dyDescent="0.2">
      <c r="A279" t="s">
        <v>7</v>
      </c>
      <c r="B279" s="5" t="s">
        <v>194</v>
      </c>
    </row>
    <row r="280" spans="1:3" x14ac:dyDescent="0.2">
      <c r="A280" t="s">
        <v>9</v>
      </c>
      <c r="B280" s="5" t="s">
        <v>579</v>
      </c>
    </row>
    <row r="282" spans="1:3" x14ac:dyDescent="0.2">
      <c r="A282" t="s">
        <v>0</v>
      </c>
      <c r="B282" s="5">
        <v>36</v>
      </c>
    </row>
    <row r="283" spans="1:3" x14ac:dyDescent="0.2">
      <c r="A283" t="s">
        <v>1</v>
      </c>
      <c r="B283" s="5" t="s">
        <v>580</v>
      </c>
      <c r="C283" t="s">
        <v>581</v>
      </c>
    </row>
    <row r="284" spans="1:3" x14ac:dyDescent="0.2">
      <c r="A284" t="s">
        <v>3</v>
      </c>
      <c r="B284" s="5">
        <v>5909</v>
      </c>
    </row>
    <row r="285" spans="1:3" x14ac:dyDescent="0.2">
      <c r="A285" t="s">
        <v>4</v>
      </c>
      <c r="B285" s="5">
        <v>4.8</v>
      </c>
    </row>
    <row r="286" spans="1:3" x14ac:dyDescent="0.2">
      <c r="A286" t="s">
        <v>5</v>
      </c>
      <c r="B286" s="5" t="s">
        <v>270</v>
      </c>
    </row>
    <row r="287" spans="1:3" x14ac:dyDescent="0.2">
      <c r="A287" t="s">
        <v>7</v>
      </c>
      <c r="B287" s="5" t="s">
        <v>21</v>
      </c>
    </row>
    <row r="288" spans="1:3" x14ac:dyDescent="0.2">
      <c r="A288" t="s">
        <v>9</v>
      </c>
      <c r="B288" s="5" t="s">
        <v>345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582</v>
      </c>
    </row>
    <row r="292" spans="1:2" x14ac:dyDescent="0.2">
      <c r="A292" t="s">
        <v>3</v>
      </c>
      <c r="B292" s="5">
        <v>5882</v>
      </c>
    </row>
    <row r="293" spans="1:2" x14ac:dyDescent="0.2">
      <c r="A293" t="s">
        <v>4</v>
      </c>
      <c r="B293" s="5">
        <v>4.7</v>
      </c>
    </row>
    <row r="294" spans="1:2" x14ac:dyDescent="0.2">
      <c r="A294" t="s">
        <v>5</v>
      </c>
      <c r="B294" s="5" t="s">
        <v>583</v>
      </c>
    </row>
    <row r="295" spans="1:2" x14ac:dyDescent="0.2">
      <c r="A295" t="s">
        <v>7</v>
      </c>
      <c r="B295" s="5" t="s">
        <v>244</v>
      </c>
    </row>
    <row r="296" spans="1:2" x14ac:dyDescent="0.2">
      <c r="A296" t="s">
        <v>9</v>
      </c>
      <c r="B296" s="5" t="s">
        <v>584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585</v>
      </c>
    </row>
    <row r="300" spans="1:2" x14ac:dyDescent="0.2">
      <c r="A300" t="s">
        <v>3</v>
      </c>
      <c r="B300" s="5">
        <v>5879</v>
      </c>
    </row>
    <row r="301" spans="1:2" x14ac:dyDescent="0.2">
      <c r="A301" t="s">
        <v>4</v>
      </c>
      <c r="B301" s="5">
        <v>4.7</v>
      </c>
    </row>
    <row r="302" spans="1:2" x14ac:dyDescent="0.2">
      <c r="A302" t="s">
        <v>5</v>
      </c>
      <c r="B302" s="5" t="s">
        <v>586</v>
      </c>
    </row>
    <row r="303" spans="1:2" x14ac:dyDescent="0.2">
      <c r="A303" t="s">
        <v>7</v>
      </c>
      <c r="B303" s="5" t="s">
        <v>244</v>
      </c>
    </row>
    <row r="304" spans="1:2" x14ac:dyDescent="0.2">
      <c r="A304" t="s">
        <v>9</v>
      </c>
      <c r="B304" s="5" t="s">
        <v>587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588</v>
      </c>
    </row>
    <row r="308" spans="1:2" x14ac:dyDescent="0.2">
      <c r="A308" t="s">
        <v>3</v>
      </c>
      <c r="B308" s="5">
        <v>5840</v>
      </c>
    </row>
    <row r="309" spans="1:2" x14ac:dyDescent="0.2">
      <c r="A309" t="s">
        <v>4</v>
      </c>
      <c r="B309" s="5">
        <v>4.8</v>
      </c>
    </row>
    <row r="310" spans="1:2" x14ac:dyDescent="0.2">
      <c r="A310" t="s">
        <v>5</v>
      </c>
      <c r="B310" s="5" t="s">
        <v>343</v>
      </c>
    </row>
    <row r="311" spans="1:2" x14ac:dyDescent="0.2">
      <c r="A311" t="s">
        <v>7</v>
      </c>
      <c r="B311" s="5" t="s">
        <v>21</v>
      </c>
    </row>
    <row r="312" spans="1:2" x14ac:dyDescent="0.2">
      <c r="A312" t="s">
        <v>9</v>
      </c>
      <c r="B312" s="5" t="s">
        <v>589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590</v>
      </c>
    </row>
    <row r="316" spans="1:2" x14ac:dyDescent="0.2">
      <c r="A316" t="s">
        <v>3</v>
      </c>
      <c r="B316" s="5">
        <v>5722</v>
      </c>
    </row>
    <row r="317" spans="1:2" x14ac:dyDescent="0.2">
      <c r="A317" t="s">
        <v>4</v>
      </c>
      <c r="B317" s="5">
        <v>4.8</v>
      </c>
    </row>
    <row r="318" spans="1:2" x14ac:dyDescent="0.2">
      <c r="A318" t="s">
        <v>5</v>
      </c>
      <c r="B318" s="5" t="s">
        <v>591</v>
      </c>
    </row>
    <row r="319" spans="1:2" x14ac:dyDescent="0.2">
      <c r="A319" t="s">
        <v>7</v>
      </c>
      <c r="B319" s="5" t="s">
        <v>85</v>
      </c>
    </row>
    <row r="320" spans="1:2" x14ac:dyDescent="0.2">
      <c r="A320" t="s">
        <v>9</v>
      </c>
      <c r="B320" s="5" t="s">
        <v>592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9288-4450-42D2-85C0-AFE8DD07031C}">
  <sheetPr codeName="Sheet8">
    <tabColor rgb="FF00B0F0"/>
  </sheetPr>
  <dimension ref="A1"/>
  <sheetViews>
    <sheetView workbookViewId="0"/>
  </sheetViews>
  <sheetFormatPr defaultRowHeight="14.25" x14ac:dyDescent="0.2"/>
  <cols>
    <col min="1" max="1" width="12.625" bestFit="1" customWidth="1"/>
    <col min="2" max="2" width="7.12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1" ht="15" thickBot="1" x14ac:dyDescent="0.25">
      <c r="A1" s="10" t="str">
        <f>HYPERLINK(INDEX(获取工作表名,1)&amp;"!A"&amp;MATCH("四川北路店",汇总!B:B,0),"四川北路店")</f>
        <v>四川北路店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8690-39F0-4A65-AEF4-EC63B5771E75}">
  <sheetPr codeName="Sheet9">
    <tabColor rgb="FF00B0F0"/>
  </sheetPr>
  <dimension ref="A1:B320"/>
  <sheetViews>
    <sheetView zoomScaleNormal="100" workbookViewId="0">
      <selection activeCell="J15" sqref="J15"/>
    </sheetView>
  </sheetViews>
  <sheetFormatPr defaultRowHeight="14.25" x14ac:dyDescent="0.2"/>
  <cols>
    <col min="1" max="1" width="9" bestFit="1" customWidth="1"/>
    <col min="2" max="2" width="7.125" style="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2" ht="15" thickBot="1" x14ac:dyDescent="0.25">
      <c r="A1" s="10" t="str">
        <f>HYPERLINK(INDEX(获取工作表名,1)&amp;"!A"&amp;MATCH("大宁店",汇总!B:B,0),"大宁店")</f>
        <v>大宁店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2</v>
      </c>
    </row>
    <row r="4" spans="1:2" x14ac:dyDescent="0.2">
      <c r="A4" t="s">
        <v>3</v>
      </c>
      <c r="B4" s="5">
        <v>16924</v>
      </c>
    </row>
    <row r="5" spans="1:2" x14ac:dyDescent="0.2">
      <c r="A5" t="s">
        <v>4</v>
      </c>
      <c r="B5" s="5">
        <v>4.4000000000000004</v>
      </c>
    </row>
    <row r="6" spans="1:2" x14ac:dyDescent="0.2">
      <c r="A6" t="s">
        <v>5</v>
      </c>
      <c r="B6" s="5" t="s">
        <v>593</v>
      </c>
    </row>
    <row r="7" spans="1:2" x14ac:dyDescent="0.2">
      <c r="A7" t="s">
        <v>7</v>
      </c>
      <c r="B7" s="5" t="s">
        <v>8</v>
      </c>
    </row>
    <row r="8" spans="1:2" x14ac:dyDescent="0.2">
      <c r="A8" t="s">
        <v>9</v>
      </c>
      <c r="B8" s="5" t="s">
        <v>10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594</v>
      </c>
    </row>
    <row r="12" spans="1:2" x14ac:dyDescent="0.2">
      <c r="A12" t="s">
        <v>3</v>
      </c>
      <c r="B12" s="5">
        <v>10466</v>
      </c>
    </row>
    <row r="13" spans="1:2" x14ac:dyDescent="0.2">
      <c r="A13" t="s">
        <v>4</v>
      </c>
      <c r="B13" s="5">
        <v>4.7</v>
      </c>
    </row>
    <row r="14" spans="1:2" x14ac:dyDescent="0.2">
      <c r="A14" t="s">
        <v>5</v>
      </c>
      <c r="B14" s="5" t="s">
        <v>240</v>
      </c>
    </row>
    <row r="15" spans="1:2" x14ac:dyDescent="0.2">
      <c r="A15" t="s">
        <v>7</v>
      </c>
      <c r="B15" s="5" t="s">
        <v>21</v>
      </c>
    </row>
    <row r="16" spans="1:2" x14ac:dyDescent="0.2">
      <c r="A16" t="s">
        <v>9</v>
      </c>
      <c r="B16" s="5" t="s">
        <v>595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596</v>
      </c>
    </row>
    <row r="20" spans="1:2" x14ac:dyDescent="0.2">
      <c r="A20" t="s">
        <v>3</v>
      </c>
      <c r="B20" s="5">
        <v>10379</v>
      </c>
    </row>
    <row r="21" spans="1:2" x14ac:dyDescent="0.2">
      <c r="A21" t="s">
        <v>4</v>
      </c>
      <c r="B21" s="5">
        <v>4.8</v>
      </c>
    </row>
    <row r="22" spans="1:2" x14ac:dyDescent="0.2">
      <c r="A22" t="s">
        <v>5</v>
      </c>
      <c r="B22" s="5" t="s">
        <v>507</v>
      </c>
    </row>
    <row r="23" spans="1:2" x14ac:dyDescent="0.2">
      <c r="A23" t="s">
        <v>7</v>
      </c>
      <c r="B23" s="5" t="s">
        <v>271</v>
      </c>
    </row>
    <row r="24" spans="1:2" x14ac:dyDescent="0.2">
      <c r="A24" t="s">
        <v>9</v>
      </c>
      <c r="B24" s="5" t="s">
        <v>106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597</v>
      </c>
    </row>
    <row r="28" spans="1:2" x14ac:dyDescent="0.2">
      <c r="A28" t="s">
        <v>3</v>
      </c>
      <c r="B28" s="5">
        <v>10281</v>
      </c>
    </row>
    <row r="29" spans="1:2" x14ac:dyDescent="0.2">
      <c r="A29" t="s">
        <v>4</v>
      </c>
      <c r="B29" s="5">
        <v>4.8</v>
      </c>
    </row>
    <row r="30" spans="1:2" x14ac:dyDescent="0.2">
      <c r="A30" t="s">
        <v>5</v>
      </c>
      <c r="B30" s="5" t="s">
        <v>598</v>
      </c>
    </row>
    <row r="31" spans="1:2" x14ac:dyDescent="0.2">
      <c r="A31" t="s">
        <v>7</v>
      </c>
      <c r="B31" s="5" t="s">
        <v>112</v>
      </c>
    </row>
    <row r="32" spans="1:2" x14ac:dyDescent="0.2">
      <c r="A32" t="s">
        <v>9</v>
      </c>
      <c r="B32" s="5" t="s">
        <v>599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600</v>
      </c>
    </row>
    <row r="36" spans="1:2" x14ac:dyDescent="0.2">
      <c r="A36" t="s">
        <v>3</v>
      </c>
      <c r="B36" s="5">
        <v>9789</v>
      </c>
    </row>
    <row r="37" spans="1:2" x14ac:dyDescent="0.2">
      <c r="A37" t="s">
        <v>4</v>
      </c>
      <c r="B37" s="5">
        <v>4.7</v>
      </c>
    </row>
    <row r="38" spans="1:2" x14ac:dyDescent="0.2">
      <c r="A38" t="s">
        <v>5</v>
      </c>
      <c r="B38" s="5" t="s">
        <v>369</v>
      </c>
    </row>
    <row r="39" spans="1:2" x14ac:dyDescent="0.2">
      <c r="A39" t="s">
        <v>7</v>
      </c>
      <c r="B39" s="5" t="s">
        <v>25</v>
      </c>
    </row>
    <row r="40" spans="1:2" x14ac:dyDescent="0.2">
      <c r="A40" t="s">
        <v>9</v>
      </c>
      <c r="B40" s="5" t="s">
        <v>601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602</v>
      </c>
    </row>
    <row r="44" spans="1:2" x14ac:dyDescent="0.2">
      <c r="A44" t="s">
        <v>3</v>
      </c>
      <c r="B44" s="5">
        <v>9732</v>
      </c>
    </row>
    <row r="45" spans="1:2" x14ac:dyDescent="0.2">
      <c r="A45" t="s">
        <v>4</v>
      </c>
      <c r="B45" s="5">
        <v>4.8</v>
      </c>
    </row>
    <row r="46" spans="1:2" x14ac:dyDescent="0.2">
      <c r="A46" t="s">
        <v>5</v>
      </c>
      <c r="B46" s="5" t="s">
        <v>278</v>
      </c>
    </row>
    <row r="47" spans="1:2" x14ac:dyDescent="0.2">
      <c r="A47" t="s">
        <v>7</v>
      </c>
      <c r="B47" s="5" t="s">
        <v>337</v>
      </c>
    </row>
    <row r="48" spans="1:2" x14ac:dyDescent="0.2">
      <c r="A48" t="s">
        <v>9</v>
      </c>
      <c r="B48" s="5" t="s">
        <v>41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172</v>
      </c>
    </row>
    <row r="52" spans="1:2" x14ac:dyDescent="0.2">
      <c r="A52" t="s">
        <v>3</v>
      </c>
      <c r="B52" s="5">
        <v>9286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603</v>
      </c>
    </row>
    <row r="55" spans="1:2" x14ac:dyDescent="0.2">
      <c r="A55" t="s">
        <v>7</v>
      </c>
      <c r="B55" s="5" t="s">
        <v>604</v>
      </c>
    </row>
    <row r="56" spans="1:2" x14ac:dyDescent="0.2">
      <c r="A56" t="s">
        <v>9</v>
      </c>
      <c r="B56" s="5" t="s">
        <v>18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605</v>
      </c>
    </row>
    <row r="60" spans="1:2" x14ac:dyDescent="0.2">
      <c r="A60" t="s">
        <v>3</v>
      </c>
      <c r="B60" s="5">
        <v>9074</v>
      </c>
    </row>
    <row r="61" spans="1:2" x14ac:dyDescent="0.2">
      <c r="A61" t="s">
        <v>4</v>
      </c>
      <c r="B61" s="5">
        <v>4.7</v>
      </c>
    </row>
    <row r="62" spans="1:2" x14ac:dyDescent="0.2">
      <c r="A62" t="s">
        <v>5</v>
      </c>
      <c r="B62" s="5" t="s">
        <v>39</v>
      </c>
    </row>
    <row r="63" spans="1:2" x14ac:dyDescent="0.2">
      <c r="A63" t="s">
        <v>7</v>
      </c>
      <c r="B63" s="5" t="s">
        <v>96</v>
      </c>
    </row>
    <row r="64" spans="1:2" x14ac:dyDescent="0.2">
      <c r="A64" t="s">
        <v>9</v>
      </c>
      <c r="B64" s="5" t="s">
        <v>364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174</v>
      </c>
    </row>
    <row r="68" spans="1:2" x14ac:dyDescent="0.2">
      <c r="A68" t="s">
        <v>3</v>
      </c>
      <c r="B68" s="5">
        <v>8955</v>
      </c>
    </row>
    <row r="69" spans="1:2" x14ac:dyDescent="0.2">
      <c r="A69" t="s">
        <v>4</v>
      </c>
      <c r="B69" s="5">
        <v>4.8</v>
      </c>
    </row>
    <row r="70" spans="1:2" x14ac:dyDescent="0.2">
      <c r="A70" t="s">
        <v>5</v>
      </c>
      <c r="B70" s="5" t="s">
        <v>606</v>
      </c>
    </row>
    <row r="71" spans="1:2" x14ac:dyDescent="0.2">
      <c r="A71" t="s">
        <v>7</v>
      </c>
      <c r="B71" s="5" t="s">
        <v>176</v>
      </c>
    </row>
    <row r="72" spans="1:2" x14ac:dyDescent="0.2">
      <c r="A72" t="s">
        <v>9</v>
      </c>
      <c r="B72" s="5" t="s">
        <v>177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185</v>
      </c>
    </row>
    <row r="76" spans="1:2" x14ac:dyDescent="0.2">
      <c r="A76" t="s">
        <v>3</v>
      </c>
      <c r="B76" s="5">
        <v>8758</v>
      </c>
    </row>
    <row r="77" spans="1:2" x14ac:dyDescent="0.2">
      <c r="A77" t="s">
        <v>4</v>
      </c>
      <c r="B77" s="5">
        <v>4.8</v>
      </c>
    </row>
    <row r="78" spans="1:2" x14ac:dyDescent="0.2">
      <c r="A78" t="s">
        <v>5</v>
      </c>
      <c r="B78" s="5" t="s">
        <v>607</v>
      </c>
    </row>
    <row r="79" spans="1:2" x14ac:dyDescent="0.2">
      <c r="A79" t="s">
        <v>7</v>
      </c>
      <c r="B79" s="5" t="s">
        <v>77</v>
      </c>
    </row>
    <row r="80" spans="1:2" x14ac:dyDescent="0.2">
      <c r="A80" t="s">
        <v>9</v>
      </c>
      <c r="B80" s="5" t="s">
        <v>186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608</v>
      </c>
    </row>
    <row r="84" spans="1:2" x14ac:dyDescent="0.2">
      <c r="A84" t="s">
        <v>3</v>
      </c>
      <c r="B84" s="5">
        <v>8424</v>
      </c>
    </row>
    <row r="85" spans="1:2" x14ac:dyDescent="0.2">
      <c r="A85" t="s">
        <v>4</v>
      </c>
      <c r="B85" s="5">
        <v>4.5999999999999996</v>
      </c>
    </row>
    <row r="86" spans="1:2" x14ac:dyDescent="0.2">
      <c r="A86" t="s">
        <v>5</v>
      </c>
      <c r="B86" s="5" t="s">
        <v>609</v>
      </c>
    </row>
    <row r="87" spans="1:2" x14ac:dyDescent="0.2">
      <c r="A87" t="s">
        <v>7</v>
      </c>
      <c r="B87" s="5" t="s">
        <v>77</v>
      </c>
    </row>
    <row r="88" spans="1:2" x14ac:dyDescent="0.2">
      <c r="A88" t="s">
        <v>9</v>
      </c>
      <c r="B88" s="5" t="s">
        <v>610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611</v>
      </c>
    </row>
    <row r="92" spans="1:2" x14ac:dyDescent="0.2">
      <c r="A92" t="s">
        <v>3</v>
      </c>
      <c r="B92" s="5">
        <v>8204</v>
      </c>
    </row>
    <row r="93" spans="1:2" x14ac:dyDescent="0.2">
      <c r="A93" t="s">
        <v>4</v>
      </c>
      <c r="B93" s="5">
        <v>4.3</v>
      </c>
    </row>
    <row r="94" spans="1:2" x14ac:dyDescent="0.2">
      <c r="A94" t="s">
        <v>5</v>
      </c>
      <c r="B94" s="5" t="s">
        <v>16</v>
      </c>
    </row>
    <row r="95" spans="1:2" x14ac:dyDescent="0.2">
      <c r="A95" t="s">
        <v>7</v>
      </c>
      <c r="B95" s="5" t="s">
        <v>344</v>
      </c>
    </row>
    <row r="96" spans="1:2" x14ac:dyDescent="0.2">
      <c r="A96" t="s">
        <v>9</v>
      </c>
      <c r="B96" s="5" t="s">
        <v>612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613</v>
      </c>
    </row>
    <row r="100" spans="1:2" x14ac:dyDescent="0.2">
      <c r="A100" t="s">
        <v>3</v>
      </c>
      <c r="B100" s="5">
        <v>8173</v>
      </c>
    </row>
    <row r="101" spans="1:2" x14ac:dyDescent="0.2">
      <c r="A101" t="s">
        <v>4</v>
      </c>
      <c r="B101" s="5">
        <v>4.5999999999999996</v>
      </c>
    </row>
    <row r="102" spans="1:2" x14ac:dyDescent="0.2">
      <c r="A102" t="s">
        <v>5</v>
      </c>
      <c r="B102" s="5" t="s">
        <v>614</v>
      </c>
    </row>
    <row r="103" spans="1:2" x14ac:dyDescent="0.2">
      <c r="A103" t="s">
        <v>7</v>
      </c>
      <c r="B103" s="5" t="s">
        <v>96</v>
      </c>
    </row>
    <row r="104" spans="1:2" x14ac:dyDescent="0.2">
      <c r="A104" t="s">
        <v>9</v>
      </c>
      <c r="B104" s="5" t="s">
        <v>615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616</v>
      </c>
    </row>
    <row r="108" spans="1:2" x14ac:dyDescent="0.2">
      <c r="A108" t="s">
        <v>3</v>
      </c>
      <c r="B108" s="5">
        <v>7842</v>
      </c>
    </row>
    <row r="109" spans="1:2" x14ac:dyDescent="0.2">
      <c r="A109" t="s">
        <v>4</v>
      </c>
      <c r="B109" s="5">
        <v>4.8</v>
      </c>
    </row>
    <row r="110" spans="1:2" x14ac:dyDescent="0.2">
      <c r="A110" t="s">
        <v>5</v>
      </c>
      <c r="B110" s="5" t="s">
        <v>617</v>
      </c>
    </row>
    <row r="111" spans="1:2" x14ac:dyDescent="0.2">
      <c r="A111" t="s">
        <v>7</v>
      </c>
      <c r="B111" s="5" t="s">
        <v>299</v>
      </c>
    </row>
    <row r="112" spans="1:2" x14ac:dyDescent="0.2">
      <c r="A112" t="s">
        <v>9</v>
      </c>
      <c r="B112" s="5" t="s">
        <v>618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619</v>
      </c>
    </row>
    <row r="116" spans="1:2" x14ac:dyDescent="0.2">
      <c r="A116" t="s">
        <v>3</v>
      </c>
      <c r="B116" s="5">
        <v>7740</v>
      </c>
    </row>
    <row r="117" spans="1:2" x14ac:dyDescent="0.2">
      <c r="A117" t="s">
        <v>4</v>
      </c>
      <c r="B117" s="5">
        <v>4.5999999999999996</v>
      </c>
    </row>
    <row r="118" spans="1:2" x14ac:dyDescent="0.2">
      <c r="A118" t="s">
        <v>5</v>
      </c>
      <c r="B118" s="5" t="s">
        <v>620</v>
      </c>
    </row>
    <row r="119" spans="1:2" x14ac:dyDescent="0.2">
      <c r="A119" t="s">
        <v>7</v>
      </c>
      <c r="B119" s="5" t="s">
        <v>176</v>
      </c>
    </row>
    <row r="120" spans="1:2" x14ac:dyDescent="0.2">
      <c r="A120" t="s">
        <v>9</v>
      </c>
      <c r="B120" s="5" t="s">
        <v>621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622</v>
      </c>
    </row>
    <row r="124" spans="1:2" x14ac:dyDescent="0.2">
      <c r="A124" t="s">
        <v>3</v>
      </c>
      <c r="B124" s="5">
        <v>7733</v>
      </c>
    </row>
    <row r="125" spans="1:2" x14ac:dyDescent="0.2">
      <c r="A125" t="s">
        <v>4</v>
      </c>
      <c r="B125" s="5">
        <v>4.5</v>
      </c>
    </row>
    <row r="126" spans="1:2" x14ac:dyDescent="0.2">
      <c r="A126" t="s">
        <v>5</v>
      </c>
      <c r="B126" s="5" t="s">
        <v>623</v>
      </c>
    </row>
    <row r="127" spans="1:2" x14ac:dyDescent="0.2">
      <c r="A127" t="s">
        <v>7</v>
      </c>
      <c r="B127" s="5" t="s">
        <v>217</v>
      </c>
    </row>
    <row r="128" spans="1:2" x14ac:dyDescent="0.2">
      <c r="A128" t="s">
        <v>9</v>
      </c>
      <c r="B128" s="5" t="s">
        <v>624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187</v>
      </c>
    </row>
    <row r="132" spans="1:2" x14ac:dyDescent="0.2">
      <c r="A132" t="s">
        <v>3</v>
      </c>
      <c r="B132" s="5">
        <v>7715</v>
      </c>
    </row>
    <row r="133" spans="1:2" x14ac:dyDescent="0.2">
      <c r="A133" t="s">
        <v>4</v>
      </c>
      <c r="B133" s="5">
        <v>4.4000000000000004</v>
      </c>
    </row>
    <row r="134" spans="1:2" x14ac:dyDescent="0.2">
      <c r="A134" t="s">
        <v>5</v>
      </c>
      <c r="B134" s="5" t="s">
        <v>625</v>
      </c>
    </row>
    <row r="135" spans="1:2" x14ac:dyDescent="0.2">
      <c r="A135" t="s">
        <v>7</v>
      </c>
      <c r="B135" s="5" t="s">
        <v>29</v>
      </c>
    </row>
    <row r="136" spans="1:2" x14ac:dyDescent="0.2">
      <c r="A136" t="s">
        <v>9</v>
      </c>
      <c r="B136" s="5" t="s">
        <v>188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196</v>
      </c>
    </row>
    <row r="140" spans="1:2" x14ac:dyDescent="0.2">
      <c r="A140" t="s">
        <v>3</v>
      </c>
      <c r="B140" s="5">
        <v>7461</v>
      </c>
    </row>
    <row r="141" spans="1:2" x14ac:dyDescent="0.2">
      <c r="A141" t="s">
        <v>4</v>
      </c>
      <c r="B141" s="5">
        <v>4.8</v>
      </c>
    </row>
    <row r="142" spans="1:2" x14ac:dyDescent="0.2">
      <c r="A142" t="s">
        <v>5</v>
      </c>
      <c r="B142" s="5" t="s">
        <v>607</v>
      </c>
    </row>
    <row r="143" spans="1:2" x14ac:dyDescent="0.2">
      <c r="A143" t="s">
        <v>7</v>
      </c>
      <c r="B143" s="5" t="s">
        <v>125</v>
      </c>
    </row>
    <row r="144" spans="1:2" x14ac:dyDescent="0.2">
      <c r="A144" t="s">
        <v>9</v>
      </c>
      <c r="B144" s="5" t="s">
        <v>198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626</v>
      </c>
    </row>
    <row r="148" spans="1:2" x14ac:dyDescent="0.2">
      <c r="A148" t="s">
        <v>3</v>
      </c>
      <c r="B148" s="5">
        <v>7351</v>
      </c>
    </row>
    <row r="149" spans="1:2" x14ac:dyDescent="0.2">
      <c r="A149" t="s">
        <v>4</v>
      </c>
      <c r="B149" s="5">
        <v>4.8</v>
      </c>
    </row>
    <row r="150" spans="1:2" x14ac:dyDescent="0.2">
      <c r="A150" t="s">
        <v>5</v>
      </c>
      <c r="B150" s="5" t="s">
        <v>627</v>
      </c>
    </row>
    <row r="151" spans="1:2" x14ac:dyDescent="0.2">
      <c r="A151" t="s">
        <v>7</v>
      </c>
      <c r="B151" s="5" t="s">
        <v>73</v>
      </c>
    </row>
    <row r="152" spans="1:2" x14ac:dyDescent="0.2">
      <c r="A152" t="s">
        <v>9</v>
      </c>
      <c r="B152" s="5" t="s">
        <v>628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629</v>
      </c>
    </row>
    <row r="156" spans="1:2" x14ac:dyDescent="0.2">
      <c r="A156" t="s">
        <v>3</v>
      </c>
      <c r="B156" s="5">
        <v>7310</v>
      </c>
    </row>
    <row r="157" spans="1:2" x14ac:dyDescent="0.2">
      <c r="A157" t="s">
        <v>4</v>
      </c>
      <c r="B157" s="5">
        <v>4.8</v>
      </c>
    </row>
    <row r="158" spans="1:2" x14ac:dyDescent="0.2">
      <c r="A158" t="s">
        <v>5</v>
      </c>
      <c r="B158" s="5" t="s">
        <v>630</v>
      </c>
    </row>
    <row r="159" spans="1:2" x14ac:dyDescent="0.2">
      <c r="A159" t="s">
        <v>7</v>
      </c>
      <c r="B159" s="5" t="s">
        <v>490</v>
      </c>
    </row>
    <row r="160" spans="1:2" x14ac:dyDescent="0.2">
      <c r="A160" t="s">
        <v>9</v>
      </c>
      <c r="B160" s="5" t="s">
        <v>631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46</v>
      </c>
    </row>
    <row r="164" spans="1:2" x14ac:dyDescent="0.2">
      <c r="A164" t="s">
        <v>3</v>
      </c>
      <c r="B164" s="5">
        <v>7297</v>
      </c>
    </row>
    <row r="165" spans="1:2" x14ac:dyDescent="0.2">
      <c r="A165" t="s">
        <v>4</v>
      </c>
      <c r="B165" s="5">
        <v>4.8</v>
      </c>
    </row>
    <row r="166" spans="1:2" x14ac:dyDescent="0.2">
      <c r="A166" t="s">
        <v>5</v>
      </c>
      <c r="B166" s="5" t="s">
        <v>632</v>
      </c>
    </row>
    <row r="167" spans="1:2" x14ac:dyDescent="0.2">
      <c r="A167" t="s">
        <v>7</v>
      </c>
      <c r="B167" s="5" t="s">
        <v>604</v>
      </c>
    </row>
    <row r="168" spans="1:2" x14ac:dyDescent="0.2">
      <c r="A168" t="s">
        <v>9</v>
      </c>
      <c r="B168" s="5" t="s">
        <v>49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50</v>
      </c>
    </row>
    <row r="172" spans="1:2" x14ac:dyDescent="0.2">
      <c r="A172" t="s">
        <v>3</v>
      </c>
      <c r="B172" s="5">
        <v>7233</v>
      </c>
    </row>
    <row r="173" spans="1:2" x14ac:dyDescent="0.2">
      <c r="A173" t="s">
        <v>4</v>
      </c>
      <c r="B173" s="5">
        <v>4.7</v>
      </c>
    </row>
    <row r="174" spans="1:2" x14ac:dyDescent="0.2">
      <c r="A174" t="s">
        <v>5</v>
      </c>
      <c r="B174" s="5" t="s">
        <v>633</v>
      </c>
    </row>
    <row r="175" spans="1:2" x14ac:dyDescent="0.2">
      <c r="A175" t="s">
        <v>7</v>
      </c>
      <c r="B175" s="5" t="s">
        <v>44</v>
      </c>
    </row>
    <row r="176" spans="1:2" x14ac:dyDescent="0.2">
      <c r="A176" t="s">
        <v>9</v>
      </c>
      <c r="B176" s="5" t="s">
        <v>53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54</v>
      </c>
    </row>
    <row r="180" spans="1:2" x14ac:dyDescent="0.2">
      <c r="A180" t="s">
        <v>3</v>
      </c>
      <c r="B180" s="5">
        <v>7058</v>
      </c>
    </row>
    <row r="181" spans="1:2" x14ac:dyDescent="0.2">
      <c r="A181" t="s">
        <v>4</v>
      </c>
      <c r="B181" s="5">
        <v>4.8</v>
      </c>
    </row>
    <row r="182" spans="1:2" x14ac:dyDescent="0.2">
      <c r="A182" t="s">
        <v>5</v>
      </c>
      <c r="B182" s="5" t="s">
        <v>634</v>
      </c>
    </row>
    <row r="183" spans="1:2" x14ac:dyDescent="0.2">
      <c r="A183" t="s">
        <v>7</v>
      </c>
      <c r="B183" s="5" t="s">
        <v>56</v>
      </c>
    </row>
    <row r="184" spans="1:2" x14ac:dyDescent="0.2">
      <c r="A184" t="s">
        <v>9</v>
      </c>
      <c r="B184" s="5" t="s">
        <v>57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635</v>
      </c>
    </row>
    <row r="188" spans="1:2" x14ac:dyDescent="0.2">
      <c r="A188" t="s">
        <v>3</v>
      </c>
      <c r="B188" s="5">
        <v>7044</v>
      </c>
    </row>
    <row r="189" spans="1:2" x14ac:dyDescent="0.2">
      <c r="A189" t="s">
        <v>4</v>
      </c>
      <c r="B189" s="5">
        <v>4.7</v>
      </c>
    </row>
    <row r="190" spans="1:2" x14ac:dyDescent="0.2">
      <c r="A190" t="s">
        <v>5</v>
      </c>
      <c r="B190" s="5" t="s">
        <v>636</v>
      </c>
    </row>
    <row r="191" spans="1:2" x14ac:dyDescent="0.2">
      <c r="A191" t="s">
        <v>7</v>
      </c>
      <c r="B191" s="5" t="s">
        <v>176</v>
      </c>
    </row>
    <row r="192" spans="1:2" x14ac:dyDescent="0.2">
      <c r="A192" t="s">
        <v>9</v>
      </c>
      <c r="B192" s="5" t="s">
        <v>207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637</v>
      </c>
    </row>
    <row r="196" spans="1:2" x14ac:dyDescent="0.2">
      <c r="A196" t="s">
        <v>3</v>
      </c>
      <c r="B196" s="5">
        <v>6959</v>
      </c>
    </row>
    <row r="197" spans="1:2" x14ac:dyDescent="0.2">
      <c r="A197" t="s">
        <v>4</v>
      </c>
      <c r="B197" s="5">
        <v>4.5999999999999996</v>
      </c>
    </row>
    <row r="198" spans="1:2" x14ac:dyDescent="0.2">
      <c r="A198" t="s">
        <v>5</v>
      </c>
      <c r="B198" s="5" t="s">
        <v>638</v>
      </c>
    </row>
    <row r="199" spans="1:2" x14ac:dyDescent="0.2">
      <c r="A199" t="s">
        <v>7</v>
      </c>
      <c r="B199" s="5" t="s">
        <v>244</v>
      </c>
    </row>
    <row r="200" spans="1:2" x14ac:dyDescent="0.2">
      <c r="A200" t="s">
        <v>9</v>
      </c>
      <c r="B200" s="5" t="s">
        <v>639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640</v>
      </c>
    </row>
    <row r="204" spans="1:2" x14ac:dyDescent="0.2">
      <c r="A204" t="s">
        <v>3</v>
      </c>
      <c r="B204" s="5">
        <v>6862</v>
      </c>
    </row>
    <row r="205" spans="1:2" x14ac:dyDescent="0.2">
      <c r="A205" t="s">
        <v>4</v>
      </c>
      <c r="B205" s="5">
        <v>4.5</v>
      </c>
    </row>
    <row r="206" spans="1:2" x14ac:dyDescent="0.2">
      <c r="A206" t="s">
        <v>5</v>
      </c>
      <c r="B206" s="5" t="s">
        <v>641</v>
      </c>
    </row>
    <row r="207" spans="1:2" x14ac:dyDescent="0.2">
      <c r="A207" t="s">
        <v>7</v>
      </c>
      <c r="B207" s="5" t="s">
        <v>194</v>
      </c>
    </row>
    <row r="208" spans="1:2" x14ac:dyDescent="0.2">
      <c r="A208" t="s">
        <v>9</v>
      </c>
      <c r="B208" s="5" t="s">
        <v>642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643</v>
      </c>
    </row>
    <row r="212" spans="1:2" x14ac:dyDescent="0.2">
      <c r="A212" t="s">
        <v>3</v>
      </c>
      <c r="B212" s="5">
        <v>6838</v>
      </c>
    </row>
    <row r="213" spans="1:2" x14ac:dyDescent="0.2">
      <c r="A213" t="s">
        <v>4</v>
      </c>
      <c r="B213" s="5">
        <v>4.7</v>
      </c>
    </row>
    <row r="214" spans="1:2" x14ac:dyDescent="0.2">
      <c r="A214" t="s">
        <v>5</v>
      </c>
      <c r="B214" s="5" t="s">
        <v>644</v>
      </c>
    </row>
    <row r="215" spans="1:2" x14ac:dyDescent="0.2">
      <c r="A215" t="s">
        <v>7</v>
      </c>
      <c r="B215" s="5" t="s">
        <v>244</v>
      </c>
    </row>
    <row r="216" spans="1:2" x14ac:dyDescent="0.2">
      <c r="A216" t="s">
        <v>9</v>
      </c>
      <c r="B216" s="5" t="s">
        <v>645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646</v>
      </c>
    </row>
    <row r="220" spans="1:2" x14ac:dyDescent="0.2">
      <c r="A220" t="s">
        <v>3</v>
      </c>
      <c r="B220" s="5">
        <v>6745</v>
      </c>
    </row>
    <row r="221" spans="1:2" x14ac:dyDescent="0.2">
      <c r="A221" t="s">
        <v>4</v>
      </c>
      <c r="B221" s="5">
        <v>4.8</v>
      </c>
    </row>
    <row r="222" spans="1:2" x14ac:dyDescent="0.2">
      <c r="A222" t="s">
        <v>5</v>
      </c>
      <c r="B222" s="5" t="s">
        <v>647</v>
      </c>
    </row>
    <row r="223" spans="1:2" x14ac:dyDescent="0.2">
      <c r="A223" t="s">
        <v>7</v>
      </c>
      <c r="B223" s="5" t="s">
        <v>29</v>
      </c>
    </row>
    <row r="224" spans="1:2" x14ac:dyDescent="0.2">
      <c r="A224" t="s">
        <v>9</v>
      </c>
      <c r="B224" s="5" t="s">
        <v>648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649</v>
      </c>
    </row>
    <row r="228" spans="1:2" x14ac:dyDescent="0.2">
      <c r="A228" t="s">
        <v>3</v>
      </c>
      <c r="B228" s="5">
        <v>6725</v>
      </c>
    </row>
    <row r="229" spans="1:2" x14ac:dyDescent="0.2">
      <c r="A229" t="s">
        <v>4</v>
      </c>
      <c r="B229" s="5">
        <v>4.8</v>
      </c>
    </row>
    <row r="230" spans="1:2" x14ac:dyDescent="0.2">
      <c r="A230" t="s">
        <v>5</v>
      </c>
      <c r="B230" s="5" t="s">
        <v>650</v>
      </c>
    </row>
    <row r="231" spans="1:2" x14ac:dyDescent="0.2">
      <c r="A231" t="s">
        <v>7</v>
      </c>
      <c r="B231" s="5" t="s">
        <v>96</v>
      </c>
    </row>
    <row r="232" spans="1:2" x14ac:dyDescent="0.2">
      <c r="A232" t="s">
        <v>9</v>
      </c>
      <c r="B232" s="5" t="s">
        <v>651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652</v>
      </c>
    </row>
    <row r="236" spans="1:2" x14ac:dyDescent="0.2">
      <c r="A236" t="s">
        <v>3</v>
      </c>
      <c r="B236" s="5">
        <v>6659</v>
      </c>
    </row>
    <row r="237" spans="1:2" x14ac:dyDescent="0.2">
      <c r="A237" t="s">
        <v>4</v>
      </c>
      <c r="B237" s="5">
        <v>4.5999999999999996</v>
      </c>
    </row>
    <row r="238" spans="1:2" x14ac:dyDescent="0.2">
      <c r="A238" t="s">
        <v>5</v>
      </c>
      <c r="B238" s="5" t="s">
        <v>146</v>
      </c>
    </row>
    <row r="239" spans="1:2" x14ac:dyDescent="0.2">
      <c r="A239" t="s">
        <v>7</v>
      </c>
      <c r="B239" s="5" t="s">
        <v>89</v>
      </c>
    </row>
    <row r="240" spans="1:2" x14ac:dyDescent="0.2">
      <c r="A240" t="s">
        <v>9</v>
      </c>
      <c r="B240" s="5" t="s">
        <v>218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222</v>
      </c>
    </row>
    <row r="244" spans="1:2" x14ac:dyDescent="0.2">
      <c r="A244" t="s">
        <v>3</v>
      </c>
      <c r="B244" s="5">
        <v>6569</v>
      </c>
    </row>
    <row r="245" spans="1:2" x14ac:dyDescent="0.2">
      <c r="A245" t="s">
        <v>4</v>
      </c>
      <c r="B245" s="5">
        <v>4.3</v>
      </c>
    </row>
    <row r="246" spans="1:2" x14ac:dyDescent="0.2">
      <c r="A246" t="s">
        <v>5</v>
      </c>
      <c r="B246" s="5" t="s">
        <v>625</v>
      </c>
    </row>
    <row r="247" spans="1:2" x14ac:dyDescent="0.2">
      <c r="A247" t="s">
        <v>7</v>
      </c>
      <c r="B247" s="5" t="s">
        <v>344</v>
      </c>
    </row>
    <row r="248" spans="1:2" x14ac:dyDescent="0.2">
      <c r="A248" t="s">
        <v>9</v>
      </c>
      <c r="B248" s="5" t="s">
        <v>223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653</v>
      </c>
    </row>
    <row r="252" spans="1:2" x14ac:dyDescent="0.2">
      <c r="A252" t="s">
        <v>3</v>
      </c>
      <c r="B252" s="5">
        <v>6539</v>
      </c>
    </row>
    <row r="253" spans="1:2" x14ac:dyDescent="0.2">
      <c r="A253" t="s">
        <v>4</v>
      </c>
      <c r="B253" s="5">
        <v>4.5</v>
      </c>
    </row>
    <row r="254" spans="1:2" x14ac:dyDescent="0.2">
      <c r="A254" t="s">
        <v>5</v>
      </c>
      <c r="B254" s="5" t="s">
        <v>654</v>
      </c>
    </row>
    <row r="255" spans="1:2" x14ac:dyDescent="0.2">
      <c r="A255" t="s">
        <v>7</v>
      </c>
      <c r="B255" s="5" t="s">
        <v>13</v>
      </c>
    </row>
    <row r="256" spans="1:2" x14ac:dyDescent="0.2">
      <c r="A256" t="s">
        <v>9</v>
      </c>
      <c r="B256" s="5" t="s">
        <v>655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64</v>
      </c>
    </row>
    <row r="260" spans="1:2" x14ac:dyDescent="0.2">
      <c r="A260" t="s">
        <v>3</v>
      </c>
      <c r="B260" s="5">
        <v>6531</v>
      </c>
    </row>
    <row r="261" spans="1:2" x14ac:dyDescent="0.2">
      <c r="A261" t="s">
        <v>4</v>
      </c>
      <c r="B261" s="5">
        <v>4.5999999999999996</v>
      </c>
    </row>
    <row r="262" spans="1:2" x14ac:dyDescent="0.2">
      <c r="A262" t="s">
        <v>5</v>
      </c>
      <c r="B262" s="5" t="s">
        <v>656</v>
      </c>
    </row>
    <row r="263" spans="1:2" x14ac:dyDescent="0.2">
      <c r="A263" t="s">
        <v>7</v>
      </c>
      <c r="B263" s="5" t="s">
        <v>604</v>
      </c>
    </row>
    <row r="264" spans="1:2" x14ac:dyDescent="0.2">
      <c r="A264" t="s">
        <v>9</v>
      </c>
      <c r="B264" s="5" t="s">
        <v>66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229</v>
      </c>
    </row>
    <row r="268" spans="1:2" x14ac:dyDescent="0.2">
      <c r="A268" t="s">
        <v>3</v>
      </c>
      <c r="B268" s="5">
        <v>6408</v>
      </c>
    </row>
    <row r="269" spans="1:2" x14ac:dyDescent="0.2">
      <c r="A269" t="s">
        <v>4</v>
      </c>
      <c r="B269" s="5">
        <v>4.8</v>
      </c>
    </row>
    <row r="270" spans="1:2" x14ac:dyDescent="0.2">
      <c r="A270" t="s">
        <v>5</v>
      </c>
      <c r="B270" s="5" t="s">
        <v>657</v>
      </c>
    </row>
    <row r="271" spans="1:2" x14ac:dyDescent="0.2">
      <c r="A271" t="s">
        <v>7</v>
      </c>
      <c r="B271" s="5" t="s">
        <v>52</v>
      </c>
    </row>
    <row r="272" spans="1:2" x14ac:dyDescent="0.2">
      <c r="A272" t="s">
        <v>9</v>
      </c>
      <c r="B272" s="5" t="s">
        <v>230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658</v>
      </c>
    </row>
    <row r="276" spans="1:2" x14ac:dyDescent="0.2">
      <c r="A276" t="s">
        <v>3</v>
      </c>
      <c r="B276" s="5">
        <v>6400</v>
      </c>
    </row>
    <row r="277" spans="1:2" x14ac:dyDescent="0.2">
      <c r="A277" t="s">
        <v>4</v>
      </c>
      <c r="B277" s="5">
        <v>4.7</v>
      </c>
    </row>
    <row r="278" spans="1:2" x14ac:dyDescent="0.2">
      <c r="A278" t="s">
        <v>5</v>
      </c>
      <c r="B278" s="5" t="s">
        <v>659</v>
      </c>
    </row>
    <row r="279" spans="1:2" x14ac:dyDescent="0.2">
      <c r="A279" t="s">
        <v>7</v>
      </c>
      <c r="B279" s="5" t="s">
        <v>96</v>
      </c>
    </row>
    <row r="280" spans="1:2" x14ac:dyDescent="0.2">
      <c r="A280" t="s">
        <v>9</v>
      </c>
      <c r="B280" s="5" t="s">
        <v>660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661</v>
      </c>
    </row>
    <row r="284" spans="1:2" x14ac:dyDescent="0.2">
      <c r="A284" t="s">
        <v>3</v>
      </c>
      <c r="B284" s="5">
        <v>6220</v>
      </c>
    </row>
    <row r="285" spans="1:2" x14ac:dyDescent="0.2">
      <c r="A285" t="s">
        <v>4</v>
      </c>
      <c r="B285" s="5">
        <v>4.7</v>
      </c>
    </row>
    <row r="286" spans="1:2" x14ac:dyDescent="0.2">
      <c r="A286" t="s">
        <v>5</v>
      </c>
      <c r="B286" s="5" t="s">
        <v>662</v>
      </c>
    </row>
    <row r="287" spans="1:2" x14ac:dyDescent="0.2">
      <c r="A287" t="s">
        <v>7</v>
      </c>
      <c r="B287" s="5" t="s">
        <v>125</v>
      </c>
    </row>
    <row r="288" spans="1:2" x14ac:dyDescent="0.2">
      <c r="A288" t="s">
        <v>9</v>
      </c>
      <c r="B288" s="5" t="s">
        <v>663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664</v>
      </c>
    </row>
    <row r="292" spans="1:2" x14ac:dyDescent="0.2">
      <c r="A292" t="s">
        <v>3</v>
      </c>
      <c r="B292" s="5">
        <v>6212</v>
      </c>
    </row>
    <row r="293" spans="1:2" x14ac:dyDescent="0.2">
      <c r="A293" t="s">
        <v>4</v>
      </c>
      <c r="B293" s="5">
        <v>4.8</v>
      </c>
    </row>
    <row r="294" spans="1:2" x14ac:dyDescent="0.2">
      <c r="A294" t="s">
        <v>5</v>
      </c>
      <c r="B294" s="5" t="s">
        <v>665</v>
      </c>
    </row>
    <row r="295" spans="1:2" x14ac:dyDescent="0.2">
      <c r="A295" t="s">
        <v>7</v>
      </c>
      <c r="B295" s="5" t="s">
        <v>13</v>
      </c>
    </row>
    <row r="296" spans="1:2" x14ac:dyDescent="0.2">
      <c r="A296" t="s">
        <v>9</v>
      </c>
      <c r="B296" s="5" t="s">
        <v>666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667</v>
      </c>
    </row>
    <row r="300" spans="1:2" x14ac:dyDescent="0.2">
      <c r="A300" t="s">
        <v>3</v>
      </c>
      <c r="B300" s="5">
        <v>5978</v>
      </c>
    </row>
    <row r="301" spans="1:2" x14ac:dyDescent="0.2">
      <c r="A301" t="s">
        <v>4</v>
      </c>
      <c r="B301" s="5">
        <v>4.3</v>
      </c>
    </row>
    <row r="302" spans="1:2" x14ac:dyDescent="0.2">
      <c r="A302" t="s">
        <v>5</v>
      </c>
      <c r="B302" s="5" t="s">
        <v>51</v>
      </c>
    </row>
    <row r="303" spans="1:2" x14ac:dyDescent="0.2">
      <c r="A303" t="s">
        <v>7</v>
      </c>
      <c r="B303" s="5" t="s">
        <v>25</v>
      </c>
    </row>
    <row r="304" spans="1:2" x14ac:dyDescent="0.2">
      <c r="A304" t="s">
        <v>9</v>
      </c>
      <c r="B304" s="5" t="s">
        <v>668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669</v>
      </c>
    </row>
    <row r="308" spans="1:2" x14ac:dyDescent="0.2">
      <c r="A308" t="s">
        <v>3</v>
      </c>
      <c r="B308" s="5">
        <v>5928</v>
      </c>
    </row>
    <row r="309" spans="1:2" x14ac:dyDescent="0.2">
      <c r="A309" t="s">
        <v>4</v>
      </c>
      <c r="B309" s="5">
        <v>4.8</v>
      </c>
    </row>
    <row r="310" spans="1:2" x14ac:dyDescent="0.2">
      <c r="A310" t="s">
        <v>5</v>
      </c>
      <c r="B310" s="5" t="s">
        <v>670</v>
      </c>
    </row>
    <row r="311" spans="1:2" x14ac:dyDescent="0.2">
      <c r="A311" t="s">
        <v>7</v>
      </c>
      <c r="B311" s="5" t="s">
        <v>89</v>
      </c>
    </row>
    <row r="312" spans="1:2" x14ac:dyDescent="0.2">
      <c r="A312" t="s">
        <v>9</v>
      </c>
      <c r="B312" s="5" t="s">
        <v>671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672</v>
      </c>
    </row>
    <row r="316" spans="1:2" x14ac:dyDescent="0.2">
      <c r="A316" t="s">
        <v>3</v>
      </c>
      <c r="B316" s="5">
        <v>5891</v>
      </c>
    </row>
    <row r="317" spans="1:2" x14ac:dyDescent="0.2">
      <c r="A317" t="s">
        <v>4</v>
      </c>
      <c r="B317" s="5">
        <v>4.2</v>
      </c>
    </row>
    <row r="318" spans="1:2" x14ac:dyDescent="0.2">
      <c r="A318" t="s">
        <v>5</v>
      </c>
      <c r="B318" s="5" t="s">
        <v>673</v>
      </c>
    </row>
    <row r="319" spans="1:2" x14ac:dyDescent="0.2">
      <c r="A319" t="s">
        <v>7</v>
      </c>
      <c r="B319" s="5" t="s">
        <v>194</v>
      </c>
    </row>
    <row r="320" spans="1:2" x14ac:dyDescent="0.2">
      <c r="A320" t="s">
        <v>9</v>
      </c>
      <c r="B320" s="5" t="s">
        <v>674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629AE-5244-4316-84E9-AB3C6F8C0A9D}">
  <sheetPr>
    <tabColor rgb="FF00B0F0"/>
  </sheetPr>
  <dimension ref="A1:B320"/>
  <sheetViews>
    <sheetView workbookViewId="0">
      <selection activeCell="G16" sqref="G16"/>
    </sheetView>
  </sheetViews>
  <sheetFormatPr defaultRowHeight="14.25" x14ac:dyDescent="0.2"/>
  <cols>
    <col min="1" max="1" width="9" bestFit="1" customWidth="1"/>
    <col min="2" max="2" width="9" style="5"/>
  </cols>
  <sheetData>
    <row r="1" spans="1:2" ht="15" thickBot="1" x14ac:dyDescent="0.25">
      <c r="A1" s="10" t="str">
        <f>HYPERLINK(INDEX(获取工作表名,1)&amp;"!A"&amp;MATCH("江宁路店",汇总!B:B,0),"江宁路店")</f>
        <v>江宁路店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2</v>
      </c>
    </row>
    <row r="4" spans="1:2" x14ac:dyDescent="0.2">
      <c r="A4" t="s">
        <v>3</v>
      </c>
      <c r="B4" s="5">
        <v>16924</v>
      </c>
    </row>
    <row r="5" spans="1:2" x14ac:dyDescent="0.2">
      <c r="A5" t="s">
        <v>4</v>
      </c>
      <c r="B5" s="5">
        <v>4.4000000000000004</v>
      </c>
    </row>
    <row r="6" spans="1:2" x14ac:dyDescent="0.2">
      <c r="A6" t="s">
        <v>5</v>
      </c>
      <c r="B6" s="5" t="s">
        <v>593</v>
      </c>
    </row>
    <row r="7" spans="1:2" x14ac:dyDescent="0.2">
      <c r="A7" t="s">
        <v>7</v>
      </c>
      <c r="B7" s="5" t="s">
        <v>8</v>
      </c>
    </row>
    <row r="8" spans="1:2" x14ac:dyDescent="0.2">
      <c r="A8" t="s">
        <v>9</v>
      </c>
      <c r="B8" s="5" t="s">
        <v>10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594</v>
      </c>
    </row>
    <row r="12" spans="1:2" x14ac:dyDescent="0.2">
      <c r="A12" t="s">
        <v>3</v>
      </c>
      <c r="B12" s="5">
        <v>10466</v>
      </c>
    </row>
    <row r="13" spans="1:2" x14ac:dyDescent="0.2">
      <c r="A13" t="s">
        <v>4</v>
      </c>
      <c r="B13" s="5">
        <v>4.7</v>
      </c>
    </row>
    <row r="14" spans="1:2" x14ac:dyDescent="0.2">
      <c r="A14" t="s">
        <v>5</v>
      </c>
      <c r="B14" s="5" t="s">
        <v>240</v>
      </c>
    </row>
    <row r="15" spans="1:2" x14ac:dyDescent="0.2">
      <c r="A15" t="s">
        <v>7</v>
      </c>
      <c r="B15" s="5" t="s">
        <v>21</v>
      </c>
    </row>
    <row r="16" spans="1:2" x14ac:dyDescent="0.2">
      <c r="A16" t="s">
        <v>9</v>
      </c>
      <c r="B16" s="5" t="s">
        <v>595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596</v>
      </c>
    </row>
    <row r="20" spans="1:2" x14ac:dyDescent="0.2">
      <c r="A20" t="s">
        <v>3</v>
      </c>
      <c r="B20" s="5">
        <v>10379</v>
      </c>
    </row>
    <row r="21" spans="1:2" x14ac:dyDescent="0.2">
      <c r="A21" t="s">
        <v>4</v>
      </c>
      <c r="B21" s="5">
        <v>4.8</v>
      </c>
    </row>
    <row r="22" spans="1:2" x14ac:dyDescent="0.2">
      <c r="A22" t="s">
        <v>5</v>
      </c>
      <c r="B22" s="5" t="s">
        <v>507</v>
      </c>
    </row>
    <row r="23" spans="1:2" x14ac:dyDescent="0.2">
      <c r="A23" t="s">
        <v>7</v>
      </c>
      <c r="B23" s="5" t="s">
        <v>271</v>
      </c>
    </row>
    <row r="24" spans="1:2" x14ac:dyDescent="0.2">
      <c r="A24" t="s">
        <v>9</v>
      </c>
      <c r="B24" s="5" t="s">
        <v>106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597</v>
      </c>
    </row>
    <row r="28" spans="1:2" x14ac:dyDescent="0.2">
      <c r="A28" t="s">
        <v>3</v>
      </c>
      <c r="B28" s="5">
        <v>10281</v>
      </c>
    </row>
    <row r="29" spans="1:2" x14ac:dyDescent="0.2">
      <c r="A29" t="s">
        <v>4</v>
      </c>
      <c r="B29" s="5">
        <v>4.8</v>
      </c>
    </row>
    <row r="30" spans="1:2" x14ac:dyDescent="0.2">
      <c r="A30" t="s">
        <v>5</v>
      </c>
      <c r="B30" s="5" t="s">
        <v>598</v>
      </c>
    </row>
    <row r="31" spans="1:2" x14ac:dyDescent="0.2">
      <c r="A31" t="s">
        <v>7</v>
      </c>
      <c r="B31" s="5" t="s">
        <v>112</v>
      </c>
    </row>
    <row r="32" spans="1:2" x14ac:dyDescent="0.2">
      <c r="A32" t="s">
        <v>9</v>
      </c>
      <c r="B32" s="5" t="s">
        <v>599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600</v>
      </c>
    </row>
    <row r="36" spans="1:2" x14ac:dyDescent="0.2">
      <c r="A36" t="s">
        <v>3</v>
      </c>
      <c r="B36" s="5">
        <v>9789</v>
      </c>
    </row>
    <row r="37" spans="1:2" x14ac:dyDescent="0.2">
      <c r="A37" t="s">
        <v>4</v>
      </c>
      <c r="B37" s="5">
        <v>4.7</v>
      </c>
    </row>
    <row r="38" spans="1:2" x14ac:dyDescent="0.2">
      <c r="A38" t="s">
        <v>5</v>
      </c>
      <c r="B38" s="5" t="s">
        <v>369</v>
      </c>
    </row>
    <row r="39" spans="1:2" x14ac:dyDescent="0.2">
      <c r="A39" t="s">
        <v>7</v>
      </c>
      <c r="B39" s="5" t="s">
        <v>25</v>
      </c>
    </row>
    <row r="40" spans="1:2" x14ac:dyDescent="0.2">
      <c r="A40" t="s">
        <v>9</v>
      </c>
      <c r="B40" s="5" t="s">
        <v>601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602</v>
      </c>
    </row>
    <row r="44" spans="1:2" x14ac:dyDescent="0.2">
      <c r="A44" t="s">
        <v>3</v>
      </c>
      <c r="B44" s="5">
        <v>9732</v>
      </c>
    </row>
    <row r="45" spans="1:2" x14ac:dyDescent="0.2">
      <c r="A45" t="s">
        <v>4</v>
      </c>
      <c r="B45" s="5">
        <v>4.8</v>
      </c>
    </row>
    <row r="46" spans="1:2" x14ac:dyDescent="0.2">
      <c r="A46" t="s">
        <v>5</v>
      </c>
      <c r="B46" s="5" t="s">
        <v>278</v>
      </c>
    </row>
    <row r="47" spans="1:2" x14ac:dyDescent="0.2">
      <c r="A47" t="s">
        <v>7</v>
      </c>
      <c r="B47" s="5" t="s">
        <v>337</v>
      </c>
    </row>
    <row r="48" spans="1:2" x14ac:dyDescent="0.2">
      <c r="A48" t="s">
        <v>9</v>
      </c>
      <c r="B48" s="5" t="s">
        <v>41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172</v>
      </c>
    </row>
    <row r="52" spans="1:2" x14ac:dyDescent="0.2">
      <c r="A52" t="s">
        <v>3</v>
      </c>
      <c r="B52" s="5">
        <v>9286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603</v>
      </c>
    </row>
    <row r="55" spans="1:2" x14ac:dyDescent="0.2">
      <c r="A55" t="s">
        <v>7</v>
      </c>
      <c r="B55" s="5" t="s">
        <v>604</v>
      </c>
    </row>
    <row r="56" spans="1:2" x14ac:dyDescent="0.2">
      <c r="A56" t="s">
        <v>9</v>
      </c>
      <c r="B56" s="5" t="s">
        <v>18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605</v>
      </c>
    </row>
    <row r="60" spans="1:2" x14ac:dyDescent="0.2">
      <c r="A60" t="s">
        <v>3</v>
      </c>
      <c r="B60" s="5">
        <v>9074</v>
      </c>
    </row>
    <row r="61" spans="1:2" x14ac:dyDescent="0.2">
      <c r="A61" t="s">
        <v>4</v>
      </c>
      <c r="B61" s="5">
        <v>4.7</v>
      </c>
    </row>
    <row r="62" spans="1:2" x14ac:dyDescent="0.2">
      <c r="A62" t="s">
        <v>5</v>
      </c>
      <c r="B62" s="5" t="s">
        <v>39</v>
      </c>
    </row>
    <row r="63" spans="1:2" x14ac:dyDescent="0.2">
      <c r="A63" t="s">
        <v>7</v>
      </c>
      <c r="B63" s="5" t="s">
        <v>96</v>
      </c>
    </row>
    <row r="64" spans="1:2" x14ac:dyDescent="0.2">
      <c r="A64" t="s">
        <v>9</v>
      </c>
      <c r="B64" s="5" t="s">
        <v>364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174</v>
      </c>
    </row>
    <row r="68" spans="1:2" x14ac:dyDescent="0.2">
      <c r="A68" t="s">
        <v>3</v>
      </c>
      <c r="B68" s="5">
        <v>8955</v>
      </c>
    </row>
    <row r="69" spans="1:2" x14ac:dyDescent="0.2">
      <c r="A69" t="s">
        <v>4</v>
      </c>
      <c r="B69" s="5">
        <v>4.8</v>
      </c>
    </row>
    <row r="70" spans="1:2" x14ac:dyDescent="0.2">
      <c r="A70" t="s">
        <v>5</v>
      </c>
      <c r="B70" s="5" t="s">
        <v>606</v>
      </c>
    </row>
    <row r="71" spans="1:2" x14ac:dyDescent="0.2">
      <c r="A71" t="s">
        <v>7</v>
      </c>
      <c r="B71" s="5" t="s">
        <v>176</v>
      </c>
    </row>
    <row r="72" spans="1:2" x14ac:dyDescent="0.2">
      <c r="A72" t="s">
        <v>9</v>
      </c>
      <c r="B72" s="5" t="s">
        <v>177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185</v>
      </c>
    </row>
    <row r="76" spans="1:2" x14ac:dyDescent="0.2">
      <c r="A76" t="s">
        <v>3</v>
      </c>
      <c r="B76" s="5">
        <v>8758</v>
      </c>
    </row>
    <row r="77" spans="1:2" x14ac:dyDescent="0.2">
      <c r="A77" t="s">
        <v>4</v>
      </c>
      <c r="B77" s="5">
        <v>4.8</v>
      </c>
    </row>
    <row r="78" spans="1:2" x14ac:dyDescent="0.2">
      <c r="A78" t="s">
        <v>5</v>
      </c>
      <c r="B78" s="5" t="s">
        <v>607</v>
      </c>
    </row>
    <row r="79" spans="1:2" x14ac:dyDescent="0.2">
      <c r="A79" t="s">
        <v>7</v>
      </c>
      <c r="B79" s="5" t="s">
        <v>77</v>
      </c>
    </row>
    <row r="80" spans="1:2" x14ac:dyDescent="0.2">
      <c r="A80" t="s">
        <v>9</v>
      </c>
      <c r="B80" s="5" t="s">
        <v>186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608</v>
      </c>
    </row>
    <row r="84" spans="1:2" x14ac:dyDescent="0.2">
      <c r="A84" t="s">
        <v>3</v>
      </c>
      <c r="B84" s="5">
        <v>8424</v>
      </c>
    </row>
    <row r="85" spans="1:2" x14ac:dyDescent="0.2">
      <c r="A85" t="s">
        <v>4</v>
      </c>
      <c r="B85" s="5">
        <v>4.5999999999999996</v>
      </c>
    </row>
    <row r="86" spans="1:2" x14ac:dyDescent="0.2">
      <c r="A86" t="s">
        <v>5</v>
      </c>
      <c r="B86" s="5" t="s">
        <v>609</v>
      </c>
    </row>
    <row r="87" spans="1:2" x14ac:dyDescent="0.2">
      <c r="A87" t="s">
        <v>7</v>
      </c>
      <c r="B87" s="5" t="s">
        <v>77</v>
      </c>
    </row>
    <row r="88" spans="1:2" x14ac:dyDescent="0.2">
      <c r="A88" t="s">
        <v>9</v>
      </c>
      <c r="B88" s="5" t="s">
        <v>610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611</v>
      </c>
    </row>
    <row r="92" spans="1:2" x14ac:dyDescent="0.2">
      <c r="A92" t="s">
        <v>3</v>
      </c>
      <c r="B92" s="5">
        <v>8204</v>
      </c>
    </row>
    <row r="93" spans="1:2" x14ac:dyDescent="0.2">
      <c r="A93" t="s">
        <v>4</v>
      </c>
      <c r="B93" s="5">
        <v>4.3</v>
      </c>
    </row>
    <row r="94" spans="1:2" x14ac:dyDescent="0.2">
      <c r="A94" t="s">
        <v>5</v>
      </c>
      <c r="B94" s="5" t="s">
        <v>16</v>
      </c>
    </row>
    <row r="95" spans="1:2" x14ac:dyDescent="0.2">
      <c r="A95" t="s">
        <v>7</v>
      </c>
      <c r="B95" s="5" t="s">
        <v>344</v>
      </c>
    </row>
    <row r="96" spans="1:2" x14ac:dyDescent="0.2">
      <c r="A96" t="s">
        <v>9</v>
      </c>
      <c r="B96" s="5" t="s">
        <v>612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613</v>
      </c>
    </row>
    <row r="100" spans="1:2" x14ac:dyDescent="0.2">
      <c r="A100" t="s">
        <v>3</v>
      </c>
      <c r="B100" s="5">
        <v>8173</v>
      </c>
    </row>
    <row r="101" spans="1:2" x14ac:dyDescent="0.2">
      <c r="A101" t="s">
        <v>4</v>
      </c>
      <c r="B101" s="5">
        <v>4.5999999999999996</v>
      </c>
    </row>
    <row r="102" spans="1:2" x14ac:dyDescent="0.2">
      <c r="A102" t="s">
        <v>5</v>
      </c>
      <c r="B102" s="5" t="s">
        <v>614</v>
      </c>
    </row>
    <row r="103" spans="1:2" x14ac:dyDescent="0.2">
      <c r="A103" t="s">
        <v>7</v>
      </c>
      <c r="B103" s="5" t="s">
        <v>96</v>
      </c>
    </row>
    <row r="104" spans="1:2" x14ac:dyDescent="0.2">
      <c r="A104" t="s">
        <v>9</v>
      </c>
      <c r="B104" s="5" t="s">
        <v>615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616</v>
      </c>
    </row>
    <row r="108" spans="1:2" x14ac:dyDescent="0.2">
      <c r="A108" t="s">
        <v>3</v>
      </c>
      <c r="B108" s="5">
        <v>7842</v>
      </c>
    </row>
    <row r="109" spans="1:2" x14ac:dyDescent="0.2">
      <c r="A109" t="s">
        <v>4</v>
      </c>
      <c r="B109" s="5">
        <v>4.8</v>
      </c>
    </row>
    <row r="110" spans="1:2" x14ac:dyDescent="0.2">
      <c r="A110" t="s">
        <v>5</v>
      </c>
      <c r="B110" s="5" t="s">
        <v>617</v>
      </c>
    </row>
    <row r="111" spans="1:2" x14ac:dyDescent="0.2">
      <c r="A111" t="s">
        <v>7</v>
      </c>
      <c r="B111" s="5" t="s">
        <v>299</v>
      </c>
    </row>
    <row r="112" spans="1:2" x14ac:dyDescent="0.2">
      <c r="A112" t="s">
        <v>9</v>
      </c>
      <c r="B112" s="5" t="s">
        <v>618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619</v>
      </c>
    </row>
    <row r="116" spans="1:2" x14ac:dyDescent="0.2">
      <c r="A116" t="s">
        <v>3</v>
      </c>
      <c r="B116" s="5">
        <v>7740</v>
      </c>
    </row>
    <row r="117" spans="1:2" x14ac:dyDescent="0.2">
      <c r="A117" t="s">
        <v>4</v>
      </c>
      <c r="B117" s="5">
        <v>4.5999999999999996</v>
      </c>
    </row>
    <row r="118" spans="1:2" x14ac:dyDescent="0.2">
      <c r="A118" t="s">
        <v>5</v>
      </c>
      <c r="B118" s="5" t="s">
        <v>620</v>
      </c>
    </row>
    <row r="119" spans="1:2" x14ac:dyDescent="0.2">
      <c r="A119" t="s">
        <v>7</v>
      </c>
      <c r="B119" s="5" t="s">
        <v>176</v>
      </c>
    </row>
    <row r="120" spans="1:2" x14ac:dyDescent="0.2">
      <c r="A120" t="s">
        <v>9</v>
      </c>
      <c r="B120" s="5" t="s">
        <v>621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622</v>
      </c>
    </row>
    <row r="124" spans="1:2" x14ac:dyDescent="0.2">
      <c r="A124" t="s">
        <v>3</v>
      </c>
      <c r="B124" s="5">
        <v>7733</v>
      </c>
    </row>
    <row r="125" spans="1:2" x14ac:dyDescent="0.2">
      <c r="A125" t="s">
        <v>4</v>
      </c>
      <c r="B125" s="5">
        <v>4.5</v>
      </c>
    </row>
    <row r="126" spans="1:2" x14ac:dyDescent="0.2">
      <c r="A126" t="s">
        <v>5</v>
      </c>
      <c r="B126" s="5" t="s">
        <v>623</v>
      </c>
    </row>
    <row r="127" spans="1:2" x14ac:dyDescent="0.2">
      <c r="A127" t="s">
        <v>7</v>
      </c>
      <c r="B127" s="5" t="s">
        <v>217</v>
      </c>
    </row>
    <row r="128" spans="1:2" x14ac:dyDescent="0.2">
      <c r="A128" t="s">
        <v>9</v>
      </c>
      <c r="B128" s="5" t="s">
        <v>624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187</v>
      </c>
    </row>
    <row r="132" spans="1:2" x14ac:dyDescent="0.2">
      <c r="A132" t="s">
        <v>3</v>
      </c>
      <c r="B132" s="5">
        <v>7715</v>
      </c>
    </row>
    <row r="133" spans="1:2" x14ac:dyDescent="0.2">
      <c r="A133" t="s">
        <v>4</v>
      </c>
      <c r="B133" s="5">
        <v>4.4000000000000004</v>
      </c>
    </row>
    <row r="134" spans="1:2" x14ac:dyDescent="0.2">
      <c r="A134" t="s">
        <v>5</v>
      </c>
      <c r="B134" s="5" t="s">
        <v>625</v>
      </c>
    </row>
    <row r="135" spans="1:2" x14ac:dyDescent="0.2">
      <c r="A135" t="s">
        <v>7</v>
      </c>
      <c r="B135" s="5" t="s">
        <v>29</v>
      </c>
    </row>
    <row r="136" spans="1:2" x14ac:dyDescent="0.2">
      <c r="A136" t="s">
        <v>9</v>
      </c>
      <c r="B136" s="5" t="s">
        <v>188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196</v>
      </c>
    </row>
    <row r="140" spans="1:2" x14ac:dyDescent="0.2">
      <c r="A140" t="s">
        <v>3</v>
      </c>
      <c r="B140" s="5">
        <v>7461</v>
      </c>
    </row>
    <row r="141" spans="1:2" x14ac:dyDescent="0.2">
      <c r="A141" t="s">
        <v>4</v>
      </c>
      <c r="B141" s="5">
        <v>4.8</v>
      </c>
    </row>
    <row r="142" spans="1:2" x14ac:dyDescent="0.2">
      <c r="A142" t="s">
        <v>5</v>
      </c>
      <c r="B142" s="5" t="s">
        <v>607</v>
      </c>
    </row>
    <row r="143" spans="1:2" x14ac:dyDescent="0.2">
      <c r="A143" t="s">
        <v>7</v>
      </c>
      <c r="B143" s="5" t="s">
        <v>125</v>
      </c>
    </row>
    <row r="144" spans="1:2" x14ac:dyDescent="0.2">
      <c r="A144" t="s">
        <v>9</v>
      </c>
      <c r="B144" s="5" t="s">
        <v>198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626</v>
      </c>
    </row>
    <row r="148" spans="1:2" x14ac:dyDescent="0.2">
      <c r="A148" t="s">
        <v>3</v>
      </c>
      <c r="B148" s="5">
        <v>7351</v>
      </c>
    </row>
    <row r="149" spans="1:2" x14ac:dyDescent="0.2">
      <c r="A149" t="s">
        <v>4</v>
      </c>
      <c r="B149" s="5">
        <v>4.8</v>
      </c>
    </row>
    <row r="150" spans="1:2" x14ac:dyDescent="0.2">
      <c r="A150" t="s">
        <v>5</v>
      </c>
      <c r="B150" s="5" t="s">
        <v>627</v>
      </c>
    </row>
    <row r="151" spans="1:2" x14ac:dyDescent="0.2">
      <c r="A151" t="s">
        <v>7</v>
      </c>
      <c r="B151" s="5" t="s">
        <v>73</v>
      </c>
    </row>
    <row r="152" spans="1:2" x14ac:dyDescent="0.2">
      <c r="A152" t="s">
        <v>9</v>
      </c>
      <c r="B152" s="5" t="s">
        <v>628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629</v>
      </c>
    </row>
    <row r="156" spans="1:2" x14ac:dyDescent="0.2">
      <c r="A156" t="s">
        <v>3</v>
      </c>
      <c r="B156" s="5">
        <v>7310</v>
      </c>
    </row>
    <row r="157" spans="1:2" x14ac:dyDescent="0.2">
      <c r="A157" t="s">
        <v>4</v>
      </c>
      <c r="B157" s="5">
        <v>4.8</v>
      </c>
    </row>
    <row r="158" spans="1:2" x14ac:dyDescent="0.2">
      <c r="A158" t="s">
        <v>5</v>
      </c>
      <c r="B158" s="5" t="s">
        <v>630</v>
      </c>
    </row>
    <row r="159" spans="1:2" x14ac:dyDescent="0.2">
      <c r="A159" t="s">
        <v>7</v>
      </c>
      <c r="B159" s="5" t="s">
        <v>490</v>
      </c>
    </row>
    <row r="160" spans="1:2" x14ac:dyDescent="0.2">
      <c r="A160" t="s">
        <v>9</v>
      </c>
      <c r="B160" s="5" t="s">
        <v>631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46</v>
      </c>
    </row>
    <row r="164" spans="1:2" x14ac:dyDescent="0.2">
      <c r="A164" t="s">
        <v>3</v>
      </c>
      <c r="B164" s="5">
        <v>7297</v>
      </c>
    </row>
    <row r="165" spans="1:2" x14ac:dyDescent="0.2">
      <c r="A165" t="s">
        <v>4</v>
      </c>
      <c r="B165" s="5">
        <v>4.8</v>
      </c>
    </row>
    <row r="166" spans="1:2" x14ac:dyDescent="0.2">
      <c r="A166" t="s">
        <v>5</v>
      </c>
      <c r="B166" s="5" t="s">
        <v>632</v>
      </c>
    </row>
    <row r="167" spans="1:2" x14ac:dyDescent="0.2">
      <c r="A167" t="s">
        <v>7</v>
      </c>
      <c r="B167" s="5" t="s">
        <v>604</v>
      </c>
    </row>
    <row r="168" spans="1:2" x14ac:dyDescent="0.2">
      <c r="A168" t="s">
        <v>9</v>
      </c>
      <c r="B168" s="5" t="s">
        <v>49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50</v>
      </c>
    </row>
    <row r="172" spans="1:2" x14ac:dyDescent="0.2">
      <c r="A172" t="s">
        <v>3</v>
      </c>
      <c r="B172" s="5">
        <v>7233</v>
      </c>
    </row>
    <row r="173" spans="1:2" x14ac:dyDescent="0.2">
      <c r="A173" t="s">
        <v>4</v>
      </c>
      <c r="B173" s="5">
        <v>4.7</v>
      </c>
    </row>
    <row r="174" spans="1:2" x14ac:dyDescent="0.2">
      <c r="A174" t="s">
        <v>5</v>
      </c>
      <c r="B174" s="5" t="s">
        <v>633</v>
      </c>
    </row>
    <row r="175" spans="1:2" x14ac:dyDescent="0.2">
      <c r="A175" t="s">
        <v>7</v>
      </c>
      <c r="B175" s="5" t="s">
        <v>44</v>
      </c>
    </row>
    <row r="176" spans="1:2" x14ac:dyDescent="0.2">
      <c r="A176" t="s">
        <v>9</v>
      </c>
      <c r="B176" s="5" t="s">
        <v>53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54</v>
      </c>
    </row>
    <row r="180" spans="1:2" x14ac:dyDescent="0.2">
      <c r="A180" t="s">
        <v>3</v>
      </c>
      <c r="B180" s="5">
        <v>7058</v>
      </c>
    </row>
    <row r="181" spans="1:2" x14ac:dyDescent="0.2">
      <c r="A181" t="s">
        <v>4</v>
      </c>
      <c r="B181" s="5">
        <v>4.8</v>
      </c>
    </row>
    <row r="182" spans="1:2" x14ac:dyDescent="0.2">
      <c r="A182" t="s">
        <v>5</v>
      </c>
      <c r="B182" s="5" t="s">
        <v>634</v>
      </c>
    </row>
    <row r="183" spans="1:2" x14ac:dyDescent="0.2">
      <c r="A183" t="s">
        <v>7</v>
      </c>
      <c r="B183" s="5" t="s">
        <v>56</v>
      </c>
    </row>
    <row r="184" spans="1:2" x14ac:dyDescent="0.2">
      <c r="A184" t="s">
        <v>9</v>
      </c>
      <c r="B184" s="5" t="s">
        <v>57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635</v>
      </c>
    </row>
    <row r="188" spans="1:2" x14ac:dyDescent="0.2">
      <c r="A188" t="s">
        <v>3</v>
      </c>
      <c r="B188" s="5">
        <v>7044</v>
      </c>
    </row>
    <row r="189" spans="1:2" x14ac:dyDescent="0.2">
      <c r="A189" t="s">
        <v>4</v>
      </c>
      <c r="B189" s="5">
        <v>4.7</v>
      </c>
    </row>
    <row r="190" spans="1:2" x14ac:dyDescent="0.2">
      <c r="A190" t="s">
        <v>5</v>
      </c>
      <c r="B190" s="5" t="s">
        <v>636</v>
      </c>
    </row>
    <row r="191" spans="1:2" x14ac:dyDescent="0.2">
      <c r="A191" t="s">
        <v>7</v>
      </c>
      <c r="B191" s="5" t="s">
        <v>176</v>
      </c>
    </row>
    <row r="192" spans="1:2" x14ac:dyDescent="0.2">
      <c r="A192" t="s">
        <v>9</v>
      </c>
      <c r="B192" s="5" t="s">
        <v>207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637</v>
      </c>
    </row>
    <row r="196" spans="1:2" x14ac:dyDescent="0.2">
      <c r="A196" t="s">
        <v>3</v>
      </c>
      <c r="B196" s="5">
        <v>6959</v>
      </c>
    </row>
    <row r="197" spans="1:2" x14ac:dyDescent="0.2">
      <c r="A197" t="s">
        <v>4</v>
      </c>
      <c r="B197" s="5">
        <v>4.5999999999999996</v>
      </c>
    </row>
    <row r="198" spans="1:2" x14ac:dyDescent="0.2">
      <c r="A198" t="s">
        <v>5</v>
      </c>
      <c r="B198" s="5" t="s">
        <v>638</v>
      </c>
    </row>
    <row r="199" spans="1:2" x14ac:dyDescent="0.2">
      <c r="A199" t="s">
        <v>7</v>
      </c>
      <c r="B199" s="5" t="s">
        <v>244</v>
      </c>
    </row>
    <row r="200" spans="1:2" x14ac:dyDescent="0.2">
      <c r="A200" t="s">
        <v>9</v>
      </c>
      <c r="B200" s="5" t="s">
        <v>639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640</v>
      </c>
    </row>
    <row r="204" spans="1:2" x14ac:dyDescent="0.2">
      <c r="A204" t="s">
        <v>3</v>
      </c>
      <c r="B204" s="5">
        <v>6862</v>
      </c>
    </row>
    <row r="205" spans="1:2" x14ac:dyDescent="0.2">
      <c r="A205" t="s">
        <v>4</v>
      </c>
      <c r="B205" s="5">
        <v>4.5</v>
      </c>
    </row>
    <row r="206" spans="1:2" x14ac:dyDescent="0.2">
      <c r="A206" t="s">
        <v>5</v>
      </c>
      <c r="B206" s="5" t="s">
        <v>641</v>
      </c>
    </row>
    <row r="207" spans="1:2" x14ac:dyDescent="0.2">
      <c r="A207" t="s">
        <v>7</v>
      </c>
      <c r="B207" s="5" t="s">
        <v>194</v>
      </c>
    </row>
    <row r="208" spans="1:2" x14ac:dyDescent="0.2">
      <c r="A208" t="s">
        <v>9</v>
      </c>
      <c r="B208" s="5" t="s">
        <v>642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643</v>
      </c>
    </row>
    <row r="212" spans="1:2" x14ac:dyDescent="0.2">
      <c r="A212" t="s">
        <v>3</v>
      </c>
      <c r="B212" s="5">
        <v>6838</v>
      </c>
    </row>
    <row r="213" spans="1:2" x14ac:dyDescent="0.2">
      <c r="A213" t="s">
        <v>4</v>
      </c>
      <c r="B213" s="5">
        <v>4.7</v>
      </c>
    </row>
    <row r="214" spans="1:2" x14ac:dyDescent="0.2">
      <c r="A214" t="s">
        <v>5</v>
      </c>
      <c r="B214" s="5" t="s">
        <v>644</v>
      </c>
    </row>
    <row r="215" spans="1:2" x14ac:dyDescent="0.2">
      <c r="A215" t="s">
        <v>7</v>
      </c>
      <c r="B215" s="5" t="s">
        <v>244</v>
      </c>
    </row>
    <row r="216" spans="1:2" x14ac:dyDescent="0.2">
      <c r="A216" t="s">
        <v>9</v>
      </c>
      <c r="B216" s="5" t="s">
        <v>645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646</v>
      </c>
    </row>
    <row r="220" spans="1:2" x14ac:dyDescent="0.2">
      <c r="A220" t="s">
        <v>3</v>
      </c>
      <c r="B220" s="5">
        <v>6745</v>
      </c>
    </row>
    <row r="221" spans="1:2" x14ac:dyDescent="0.2">
      <c r="A221" t="s">
        <v>4</v>
      </c>
      <c r="B221" s="5">
        <v>4.8</v>
      </c>
    </row>
    <row r="222" spans="1:2" x14ac:dyDescent="0.2">
      <c r="A222" t="s">
        <v>5</v>
      </c>
      <c r="B222" s="5" t="s">
        <v>647</v>
      </c>
    </row>
    <row r="223" spans="1:2" x14ac:dyDescent="0.2">
      <c r="A223" t="s">
        <v>7</v>
      </c>
      <c r="B223" s="5" t="s">
        <v>29</v>
      </c>
    </row>
    <row r="224" spans="1:2" x14ac:dyDescent="0.2">
      <c r="A224" t="s">
        <v>9</v>
      </c>
      <c r="B224" s="5" t="s">
        <v>648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649</v>
      </c>
    </row>
    <row r="228" spans="1:2" x14ac:dyDescent="0.2">
      <c r="A228" t="s">
        <v>3</v>
      </c>
      <c r="B228" s="5">
        <v>6725</v>
      </c>
    </row>
    <row r="229" spans="1:2" x14ac:dyDescent="0.2">
      <c r="A229" t="s">
        <v>4</v>
      </c>
      <c r="B229" s="5">
        <v>4.8</v>
      </c>
    </row>
    <row r="230" spans="1:2" x14ac:dyDescent="0.2">
      <c r="A230" t="s">
        <v>5</v>
      </c>
      <c r="B230" s="5" t="s">
        <v>650</v>
      </c>
    </row>
    <row r="231" spans="1:2" x14ac:dyDescent="0.2">
      <c r="A231" t="s">
        <v>7</v>
      </c>
      <c r="B231" s="5" t="s">
        <v>96</v>
      </c>
    </row>
    <row r="232" spans="1:2" x14ac:dyDescent="0.2">
      <c r="A232" t="s">
        <v>9</v>
      </c>
      <c r="B232" s="5" t="s">
        <v>651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652</v>
      </c>
    </row>
    <row r="236" spans="1:2" x14ac:dyDescent="0.2">
      <c r="A236" t="s">
        <v>3</v>
      </c>
      <c r="B236" s="5">
        <v>6659</v>
      </c>
    </row>
    <row r="237" spans="1:2" x14ac:dyDescent="0.2">
      <c r="A237" t="s">
        <v>4</v>
      </c>
      <c r="B237" s="5">
        <v>4.5999999999999996</v>
      </c>
    </row>
    <row r="238" spans="1:2" x14ac:dyDescent="0.2">
      <c r="A238" t="s">
        <v>5</v>
      </c>
      <c r="B238" s="5" t="s">
        <v>146</v>
      </c>
    </row>
    <row r="239" spans="1:2" x14ac:dyDescent="0.2">
      <c r="A239" t="s">
        <v>7</v>
      </c>
      <c r="B239" s="5" t="s">
        <v>89</v>
      </c>
    </row>
    <row r="240" spans="1:2" x14ac:dyDescent="0.2">
      <c r="A240" t="s">
        <v>9</v>
      </c>
      <c r="B240" s="5" t="s">
        <v>218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222</v>
      </c>
    </row>
    <row r="244" spans="1:2" x14ac:dyDescent="0.2">
      <c r="A244" t="s">
        <v>3</v>
      </c>
      <c r="B244" s="5">
        <v>6569</v>
      </c>
    </row>
    <row r="245" spans="1:2" x14ac:dyDescent="0.2">
      <c r="A245" t="s">
        <v>4</v>
      </c>
      <c r="B245" s="5">
        <v>4.3</v>
      </c>
    </row>
    <row r="246" spans="1:2" x14ac:dyDescent="0.2">
      <c r="A246" t="s">
        <v>5</v>
      </c>
      <c r="B246" s="5" t="s">
        <v>625</v>
      </c>
    </row>
    <row r="247" spans="1:2" x14ac:dyDescent="0.2">
      <c r="A247" t="s">
        <v>7</v>
      </c>
      <c r="B247" s="5" t="s">
        <v>344</v>
      </c>
    </row>
    <row r="248" spans="1:2" x14ac:dyDescent="0.2">
      <c r="A248" t="s">
        <v>9</v>
      </c>
      <c r="B248" s="5" t="s">
        <v>223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653</v>
      </c>
    </row>
    <row r="252" spans="1:2" x14ac:dyDescent="0.2">
      <c r="A252" t="s">
        <v>3</v>
      </c>
      <c r="B252" s="5">
        <v>6539</v>
      </c>
    </row>
    <row r="253" spans="1:2" x14ac:dyDescent="0.2">
      <c r="A253" t="s">
        <v>4</v>
      </c>
      <c r="B253" s="5">
        <v>4.5</v>
      </c>
    </row>
    <row r="254" spans="1:2" x14ac:dyDescent="0.2">
      <c r="A254" t="s">
        <v>5</v>
      </c>
      <c r="B254" s="5" t="s">
        <v>654</v>
      </c>
    </row>
    <row r="255" spans="1:2" x14ac:dyDescent="0.2">
      <c r="A255" t="s">
        <v>7</v>
      </c>
      <c r="B255" s="5" t="s">
        <v>13</v>
      </c>
    </row>
    <row r="256" spans="1:2" x14ac:dyDescent="0.2">
      <c r="A256" t="s">
        <v>9</v>
      </c>
      <c r="B256" s="5" t="s">
        <v>655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64</v>
      </c>
    </row>
    <row r="260" spans="1:2" x14ac:dyDescent="0.2">
      <c r="A260" t="s">
        <v>3</v>
      </c>
      <c r="B260" s="5">
        <v>6531</v>
      </c>
    </row>
    <row r="261" spans="1:2" x14ac:dyDescent="0.2">
      <c r="A261" t="s">
        <v>4</v>
      </c>
      <c r="B261" s="5">
        <v>4.5999999999999996</v>
      </c>
    </row>
    <row r="262" spans="1:2" x14ac:dyDescent="0.2">
      <c r="A262" t="s">
        <v>5</v>
      </c>
      <c r="B262" s="5" t="s">
        <v>656</v>
      </c>
    </row>
    <row r="263" spans="1:2" x14ac:dyDescent="0.2">
      <c r="A263" t="s">
        <v>7</v>
      </c>
      <c r="B263" s="5" t="s">
        <v>604</v>
      </c>
    </row>
    <row r="264" spans="1:2" x14ac:dyDescent="0.2">
      <c r="A264" t="s">
        <v>9</v>
      </c>
      <c r="B264" s="5" t="s">
        <v>66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229</v>
      </c>
    </row>
    <row r="268" spans="1:2" x14ac:dyDescent="0.2">
      <c r="A268" t="s">
        <v>3</v>
      </c>
      <c r="B268" s="5">
        <v>6408</v>
      </c>
    </row>
    <row r="269" spans="1:2" x14ac:dyDescent="0.2">
      <c r="A269" t="s">
        <v>4</v>
      </c>
      <c r="B269" s="5">
        <v>4.8</v>
      </c>
    </row>
    <row r="270" spans="1:2" x14ac:dyDescent="0.2">
      <c r="A270" t="s">
        <v>5</v>
      </c>
      <c r="B270" s="5" t="s">
        <v>657</v>
      </c>
    </row>
    <row r="271" spans="1:2" x14ac:dyDescent="0.2">
      <c r="A271" t="s">
        <v>7</v>
      </c>
      <c r="B271" s="5" t="s">
        <v>52</v>
      </c>
    </row>
    <row r="272" spans="1:2" x14ac:dyDescent="0.2">
      <c r="A272" t="s">
        <v>9</v>
      </c>
      <c r="B272" s="5" t="s">
        <v>230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658</v>
      </c>
    </row>
    <row r="276" spans="1:2" x14ac:dyDescent="0.2">
      <c r="A276" t="s">
        <v>3</v>
      </c>
      <c r="B276" s="5">
        <v>6400</v>
      </c>
    </row>
    <row r="277" spans="1:2" x14ac:dyDescent="0.2">
      <c r="A277" t="s">
        <v>4</v>
      </c>
      <c r="B277" s="5">
        <v>4.7</v>
      </c>
    </row>
    <row r="278" spans="1:2" x14ac:dyDescent="0.2">
      <c r="A278" t="s">
        <v>5</v>
      </c>
      <c r="B278" s="5" t="s">
        <v>659</v>
      </c>
    </row>
    <row r="279" spans="1:2" x14ac:dyDescent="0.2">
      <c r="A279" t="s">
        <v>7</v>
      </c>
      <c r="B279" s="5" t="s">
        <v>96</v>
      </c>
    </row>
    <row r="280" spans="1:2" x14ac:dyDescent="0.2">
      <c r="A280" t="s">
        <v>9</v>
      </c>
      <c r="B280" s="5" t="s">
        <v>660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661</v>
      </c>
    </row>
    <row r="284" spans="1:2" x14ac:dyDescent="0.2">
      <c r="A284" t="s">
        <v>3</v>
      </c>
      <c r="B284" s="5">
        <v>6220</v>
      </c>
    </row>
    <row r="285" spans="1:2" x14ac:dyDescent="0.2">
      <c r="A285" t="s">
        <v>4</v>
      </c>
      <c r="B285" s="5">
        <v>4.7</v>
      </c>
    </row>
    <row r="286" spans="1:2" x14ac:dyDescent="0.2">
      <c r="A286" t="s">
        <v>5</v>
      </c>
      <c r="B286" s="5" t="s">
        <v>662</v>
      </c>
    </row>
    <row r="287" spans="1:2" x14ac:dyDescent="0.2">
      <c r="A287" t="s">
        <v>7</v>
      </c>
      <c r="B287" s="5" t="s">
        <v>125</v>
      </c>
    </row>
    <row r="288" spans="1:2" x14ac:dyDescent="0.2">
      <c r="A288" t="s">
        <v>9</v>
      </c>
      <c r="B288" s="5" t="s">
        <v>663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664</v>
      </c>
    </row>
    <row r="292" spans="1:2" x14ac:dyDescent="0.2">
      <c r="A292" t="s">
        <v>3</v>
      </c>
      <c r="B292" s="5">
        <v>6212</v>
      </c>
    </row>
    <row r="293" spans="1:2" x14ac:dyDescent="0.2">
      <c r="A293" t="s">
        <v>4</v>
      </c>
      <c r="B293" s="5">
        <v>4.8</v>
      </c>
    </row>
    <row r="294" spans="1:2" x14ac:dyDescent="0.2">
      <c r="A294" t="s">
        <v>5</v>
      </c>
      <c r="B294" s="5" t="s">
        <v>665</v>
      </c>
    </row>
    <row r="295" spans="1:2" x14ac:dyDescent="0.2">
      <c r="A295" t="s">
        <v>7</v>
      </c>
      <c r="B295" s="5" t="s">
        <v>13</v>
      </c>
    </row>
    <row r="296" spans="1:2" x14ac:dyDescent="0.2">
      <c r="A296" t="s">
        <v>9</v>
      </c>
      <c r="B296" s="5" t="s">
        <v>666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667</v>
      </c>
    </row>
    <row r="300" spans="1:2" x14ac:dyDescent="0.2">
      <c r="A300" t="s">
        <v>3</v>
      </c>
      <c r="B300" s="5">
        <v>5978</v>
      </c>
    </row>
    <row r="301" spans="1:2" x14ac:dyDescent="0.2">
      <c r="A301" t="s">
        <v>4</v>
      </c>
      <c r="B301" s="5">
        <v>4.3</v>
      </c>
    </row>
    <row r="302" spans="1:2" x14ac:dyDescent="0.2">
      <c r="A302" t="s">
        <v>5</v>
      </c>
      <c r="B302" s="5" t="s">
        <v>51</v>
      </c>
    </row>
    <row r="303" spans="1:2" x14ac:dyDescent="0.2">
      <c r="A303" t="s">
        <v>7</v>
      </c>
      <c r="B303" s="5" t="s">
        <v>25</v>
      </c>
    </row>
    <row r="304" spans="1:2" x14ac:dyDescent="0.2">
      <c r="A304" t="s">
        <v>9</v>
      </c>
      <c r="B304" s="5" t="s">
        <v>668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669</v>
      </c>
    </row>
    <row r="308" spans="1:2" x14ac:dyDescent="0.2">
      <c r="A308" t="s">
        <v>3</v>
      </c>
      <c r="B308" s="5">
        <v>5928</v>
      </c>
    </row>
    <row r="309" spans="1:2" x14ac:dyDescent="0.2">
      <c r="A309" t="s">
        <v>4</v>
      </c>
      <c r="B309" s="5">
        <v>4.8</v>
      </c>
    </row>
    <row r="310" spans="1:2" x14ac:dyDescent="0.2">
      <c r="A310" t="s">
        <v>5</v>
      </c>
      <c r="B310" s="5" t="s">
        <v>670</v>
      </c>
    </row>
    <row r="311" spans="1:2" x14ac:dyDescent="0.2">
      <c r="A311" t="s">
        <v>7</v>
      </c>
      <c r="B311" s="5" t="s">
        <v>89</v>
      </c>
    </row>
    <row r="312" spans="1:2" x14ac:dyDescent="0.2">
      <c r="A312" t="s">
        <v>9</v>
      </c>
      <c r="B312" s="5" t="s">
        <v>671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672</v>
      </c>
    </row>
    <row r="316" spans="1:2" x14ac:dyDescent="0.2">
      <c r="A316" t="s">
        <v>3</v>
      </c>
      <c r="B316" s="5">
        <v>5891</v>
      </c>
    </row>
    <row r="317" spans="1:2" x14ac:dyDescent="0.2">
      <c r="A317" t="s">
        <v>4</v>
      </c>
      <c r="B317" s="5">
        <v>4.2</v>
      </c>
    </row>
    <row r="318" spans="1:2" x14ac:dyDescent="0.2">
      <c r="A318" t="s">
        <v>5</v>
      </c>
      <c r="B318" s="5" t="s">
        <v>673</v>
      </c>
    </row>
    <row r="319" spans="1:2" x14ac:dyDescent="0.2">
      <c r="A319" t="s">
        <v>7</v>
      </c>
      <c r="B319" s="5" t="s">
        <v>194</v>
      </c>
    </row>
    <row r="320" spans="1:2" x14ac:dyDescent="0.2">
      <c r="A320" t="s">
        <v>9</v>
      </c>
      <c r="B320" s="5" t="s">
        <v>674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C5251-918C-4B25-BAF4-CB293671A0F1}">
  <sheetPr codeName="Sheet10">
    <tabColor rgb="FFFF0000"/>
  </sheetPr>
  <dimension ref="A1:B384"/>
  <sheetViews>
    <sheetView zoomScaleNormal="100" workbookViewId="0">
      <selection activeCell="B1" sqref="B1:B1048576"/>
    </sheetView>
  </sheetViews>
  <sheetFormatPr defaultRowHeight="14.25" x14ac:dyDescent="0.2"/>
  <cols>
    <col min="1" max="1" width="11" bestFit="1" customWidth="1"/>
    <col min="2" max="2" width="7.125" style="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2" ht="15" thickBot="1" x14ac:dyDescent="0.25">
      <c r="A1" s="10" t="str">
        <f>HYPERLINK(INDEX(获取工作表名,1)&amp;"!A"&amp;MATCH("北京朝阳店",汇总!B:B,0),"北京朝阳店")</f>
        <v>北京朝阳店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675</v>
      </c>
    </row>
    <row r="4" spans="1:2" x14ac:dyDescent="0.2">
      <c r="A4" t="s">
        <v>3</v>
      </c>
      <c r="B4" s="5">
        <v>8666</v>
      </c>
    </row>
    <row r="5" spans="1:2" x14ac:dyDescent="0.2">
      <c r="A5" t="s">
        <v>4</v>
      </c>
      <c r="B5" s="5">
        <v>4.8</v>
      </c>
    </row>
    <row r="6" spans="1:2" x14ac:dyDescent="0.2">
      <c r="A6" t="s">
        <v>5</v>
      </c>
      <c r="B6" s="5" t="s">
        <v>676</v>
      </c>
    </row>
    <row r="7" spans="1:2" x14ac:dyDescent="0.2">
      <c r="A7" t="s">
        <v>7</v>
      </c>
      <c r="B7" s="5" t="s">
        <v>677</v>
      </c>
    </row>
    <row r="8" spans="1:2" x14ac:dyDescent="0.2">
      <c r="A8" t="s">
        <v>9</v>
      </c>
      <c r="B8" s="5" t="s">
        <v>678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679</v>
      </c>
    </row>
    <row r="12" spans="1:2" x14ac:dyDescent="0.2">
      <c r="A12" t="s">
        <v>3</v>
      </c>
      <c r="B12" s="5">
        <v>8364</v>
      </c>
    </row>
    <row r="13" spans="1:2" x14ac:dyDescent="0.2">
      <c r="A13" t="s">
        <v>4</v>
      </c>
      <c r="B13" s="5">
        <v>4.7</v>
      </c>
    </row>
    <row r="14" spans="1:2" x14ac:dyDescent="0.2">
      <c r="A14" t="s">
        <v>5</v>
      </c>
      <c r="B14" s="5" t="s">
        <v>680</v>
      </c>
    </row>
    <row r="15" spans="1:2" x14ac:dyDescent="0.2">
      <c r="A15" t="s">
        <v>7</v>
      </c>
      <c r="B15" s="5" t="s">
        <v>681</v>
      </c>
    </row>
    <row r="16" spans="1:2" x14ac:dyDescent="0.2">
      <c r="A16" t="s">
        <v>9</v>
      </c>
      <c r="B16" s="5" t="s">
        <v>682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683</v>
      </c>
    </row>
    <row r="20" spans="1:2" x14ac:dyDescent="0.2">
      <c r="A20" t="s">
        <v>3</v>
      </c>
      <c r="B20" s="5">
        <v>7804</v>
      </c>
    </row>
    <row r="21" spans="1:2" x14ac:dyDescent="0.2">
      <c r="A21" t="s">
        <v>4</v>
      </c>
      <c r="B21" s="5">
        <v>4.5999999999999996</v>
      </c>
    </row>
    <row r="22" spans="1:2" x14ac:dyDescent="0.2">
      <c r="A22" t="s">
        <v>5</v>
      </c>
      <c r="B22" s="5" t="s">
        <v>684</v>
      </c>
    </row>
    <row r="23" spans="1:2" x14ac:dyDescent="0.2">
      <c r="A23" t="s">
        <v>7</v>
      </c>
      <c r="B23" s="5" t="s">
        <v>685</v>
      </c>
    </row>
    <row r="24" spans="1:2" x14ac:dyDescent="0.2">
      <c r="A24" t="s">
        <v>9</v>
      </c>
      <c r="B24" s="5" t="s">
        <v>686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687</v>
      </c>
    </row>
    <row r="28" spans="1:2" x14ac:dyDescent="0.2">
      <c r="A28" t="s">
        <v>3</v>
      </c>
      <c r="B28" s="5">
        <v>7795</v>
      </c>
    </row>
    <row r="29" spans="1:2" x14ac:dyDescent="0.2">
      <c r="A29" t="s">
        <v>4</v>
      </c>
      <c r="B29" s="5">
        <v>4.5</v>
      </c>
    </row>
    <row r="30" spans="1:2" x14ac:dyDescent="0.2">
      <c r="A30" t="s">
        <v>5</v>
      </c>
      <c r="B30" s="5" t="s">
        <v>543</v>
      </c>
    </row>
    <row r="31" spans="1:2" x14ac:dyDescent="0.2">
      <c r="A31" t="s">
        <v>7</v>
      </c>
      <c r="B31" s="5" t="s">
        <v>688</v>
      </c>
    </row>
    <row r="32" spans="1:2" x14ac:dyDescent="0.2">
      <c r="A32" t="s">
        <v>9</v>
      </c>
      <c r="B32" s="5" t="s">
        <v>689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690</v>
      </c>
    </row>
    <row r="36" spans="1:2" x14ac:dyDescent="0.2">
      <c r="A36" t="s">
        <v>3</v>
      </c>
      <c r="B36" s="5">
        <v>7657</v>
      </c>
    </row>
    <row r="37" spans="1:2" x14ac:dyDescent="0.2">
      <c r="A37" t="s">
        <v>4</v>
      </c>
      <c r="B37" s="5">
        <v>4.8</v>
      </c>
    </row>
    <row r="38" spans="1:2" x14ac:dyDescent="0.2">
      <c r="A38" t="s">
        <v>5</v>
      </c>
      <c r="B38" s="5" t="s">
        <v>691</v>
      </c>
    </row>
    <row r="39" spans="1:2" x14ac:dyDescent="0.2">
      <c r="A39" t="s">
        <v>7</v>
      </c>
      <c r="B39" s="5" t="s">
        <v>89</v>
      </c>
    </row>
    <row r="40" spans="1:2" x14ac:dyDescent="0.2">
      <c r="A40" t="s">
        <v>9</v>
      </c>
      <c r="B40" s="5" t="s">
        <v>321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692</v>
      </c>
    </row>
    <row r="44" spans="1:2" x14ac:dyDescent="0.2">
      <c r="A44" t="s">
        <v>3</v>
      </c>
      <c r="B44" s="5">
        <v>7615</v>
      </c>
    </row>
    <row r="45" spans="1:2" x14ac:dyDescent="0.2">
      <c r="A45" t="s">
        <v>4</v>
      </c>
      <c r="B45" s="5">
        <v>4.7</v>
      </c>
    </row>
    <row r="46" spans="1:2" x14ac:dyDescent="0.2">
      <c r="A46" t="s">
        <v>5</v>
      </c>
      <c r="B46" s="5" t="s">
        <v>693</v>
      </c>
    </row>
    <row r="47" spans="1:2" x14ac:dyDescent="0.2">
      <c r="A47" t="s">
        <v>7</v>
      </c>
      <c r="B47" s="5" t="s">
        <v>688</v>
      </c>
    </row>
    <row r="48" spans="1:2" x14ac:dyDescent="0.2">
      <c r="A48" t="s">
        <v>9</v>
      </c>
      <c r="B48" s="5" t="s">
        <v>694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695</v>
      </c>
    </row>
    <row r="52" spans="1:2" x14ac:dyDescent="0.2">
      <c r="A52" t="s">
        <v>3</v>
      </c>
      <c r="B52" s="5">
        <v>7465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598</v>
      </c>
    </row>
    <row r="55" spans="1:2" x14ac:dyDescent="0.2">
      <c r="A55" t="s">
        <v>7</v>
      </c>
      <c r="B55" s="5" t="s">
        <v>696</v>
      </c>
    </row>
    <row r="56" spans="1:2" x14ac:dyDescent="0.2">
      <c r="A56" t="s">
        <v>9</v>
      </c>
      <c r="B56" s="5" t="s">
        <v>697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698</v>
      </c>
    </row>
    <row r="60" spans="1:2" x14ac:dyDescent="0.2">
      <c r="A60" t="s">
        <v>3</v>
      </c>
      <c r="B60" s="5">
        <v>7381</v>
      </c>
    </row>
    <row r="61" spans="1:2" x14ac:dyDescent="0.2">
      <c r="A61" t="s">
        <v>4</v>
      </c>
      <c r="B61" s="5">
        <v>4.7</v>
      </c>
    </row>
    <row r="62" spans="1:2" x14ac:dyDescent="0.2">
      <c r="A62" t="s">
        <v>5</v>
      </c>
      <c r="B62" s="5" t="s">
        <v>699</v>
      </c>
    </row>
    <row r="63" spans="1:2" x14ac:dyDescent="0.2">
      <c r="A63" t="s">
        <v>7</v>
      </c>
      <c r="B63" s="5" t="s">
        <v>700</v>
      </c>
    </row>
    <row r="64" spans="1:2" x14ac:dyDescent="0.2">
      <c r="A64" t="s">
        <v>9</v>
      </c>
      <c r="B64" s="5" t="s">
        <v>701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702</v>
      </c>
    </row>
    <row r="68" spans="1:2" x14ac:dyDescent="0.2">
      <c r="A68" t="s">
        <v>3</v>
      </c>
      <c r="B68" s="5">
        <v>7304</v>
      </c>
    </row>
    <row r="69" spans="1:2" x14ac:dyDescent="0.2">
      <c r="A69" t="s">
        <v>4</v>
      </c>
      <c r="B69" s="5">
        <v>4.7</v>
      </c>
    </row>
    <row r="70" spans="1:2" x14ac:dyDescent="0.2">
      <c r="A70" t="s">
        <v>5</v>
      </c>
      <c r="B70" s="5" t="s">
        <v>703</v>
      </c>
    </row>
    <row r="71" spans="1:2" x14ac:dyDescent="0.2">
      <c r="A71" t="s">
        <v>7</v>
      </c>
      <c r="B71" s="5" t="s">
        <v>180</v>
      </c>
    </row>
    <row r="72" spans="1:2" x14ac:dyDescent="0.2">
      <c r="A72" t="s">
        <v>9</v>
      </c>
      <c r="B72" s="5" t="s">
        <v>704</v>
      </c>
    </row>
    <row r="74" spans="1:2" x14ac:dyDescent="0.2">
      <c r="A74" t="s">
        <v>0</v>
      </c>
      <c r="B74" s="5">
        <v>10</v>
      </c>
    </row>
    <row r="75" spans="1:2" x14ac:dyDescent="0.2">
      <c r="A75" t="s">
        <v>1</v>
      </c>
      <c r="B75" s="5" t="s">
        <v>705</v>
      </c>
    </row>
    <row r="76" spans="1:2" x14ac:dyDescent="0.2">
      <c r="A76" t="s">
        <v>3</v>
      </c>
      <c r="B76" s="5">
        <v>7263</v>
      </c>
    </row>
    <row r="77" spans="1:2" x14ac:dyDescent="0.2">
      <c r="A77" t="s">
        <v>4</v>
      </c>
      <c r="B77" s="5">
        <v>4.8</v>
      </c>
    </row>
    <row r="78" spans="1:2" x14ac:dyDescent="0.2">
      <c r="A78" t="s">
        <v>5</v>
      </c>
      <c r="B78" s="5" t="s">
        <v>706</v>
      </c>
    </row>
    <row r="79" spans="1:2" x14ac:dyDescent="0.2">
      <c r="A79" t="s">
        <v>7</v>
      </c>
      <c r="B79" s="5" t="s">
        <v>40</v>
      </c>
    </row>
    <row r="80" spans="1:2" x14ac:dyDescent="0.2">
      <c r="A80" t="s">
        <v>9</v>
      </c>
      <c r="B80" s="5" t="s">
        <v>707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708</v>
      </c>
    </row>
    <row r="84" spans="1:2" x14ac:dyDescent="0.2">
      <c r="A84" t="s">
        <v>3</v>
      </c>
      <c r="B84" s="5">
        <v>6998</v>
      </c>
    </row>
    <row r="85" spans="1:2" x14ac:dyDescent="0.2">
      <c r="A85" t="s">
        <v>4</v>
      </c>
      <c r="B85" s="5">
        <v>4.5999999999999996</v>
      </c>
    </row>
    <row r="86" spans="1:2" x14ac:dyDescent="0.2">
      <c r="A86" t="s">
        <v>5</v>
      </c>
      <c r="B86" s="5" t="s">
        <v>709</v>
      </c>
    </row>
    <row r="87" spans="1:2" x14ac:dyDescent="0.2">
      <c r="A87" t="s">
        <v>7</v>
      </c>
      <c r="B87" s="5" t="s">
        <v>143</v>
      </c>
    </row>
    <row r="88" spans="1:2" x14ac:dyDescent="0.2">
      <c r="A88" t="s">
        <v>9</v>
      </c>
      <c r="B88" s="5" t="s">
        <v>710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711</v>
      </c>
    </row>
    <row r="92" spans="1:2" x14ac:dyDescent="0.2">
      <c r="A92" t="s">
        <v>3</v>
      </c>
      <c r="B92" s="5">
        <v>6674</v>
      </c>
    </row>
    <row r="93" spans="1:2" x14ac:dyDescent="0.2">
      <c r="A93" t="s">
        <v>4</v>
      </c>
      <c r="B93" s="5">
        <v>4.7</v>
      </c>
    </row>
    <row r="94" spans="1:2" x14ac:dyDescent="0.2">
      <c r="A94" t="s">
        <v>5</v>
      </c>
      <c r="B94" s="5" t="s">
        <v>712</v>
      </c>
    </row>
    <row r="95" spans="1:2" x14ac:dyDescent="0.2">
      <c r="A95" t="s">
        <v>7</v>
      </c>
      <c r="B95" s="5" t="s">
        <v>143</v>
      </c>
    </row>
    <row r="96" spans="1:2" x14ac:dyDescent="0.2">
      <c r="A96" t="s">
        <v>9</v>
      </c>
      <c r="B96" s="5" t="s">
        <v>49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713</v>
      </c>
    </row>
    <row r="100" spans="1:2" x14ac:dyDescent="0.2">
      <c r="A100" t="s">
        <v>3</v>
      </c>
      <c r="B100" s="5">
        <v>6300</v>
      </c>
    </row>
    <row r="101" spans="1:2" x14ac:dyDescent="0.2">
      <c r="A101" t="s">
        <v>4</v>
      </c>
      <c r="B101" s="5">
        <v>4.8</v>
      </c>
    </row>
    <row r="102" spans="1:2" x14ac:dyDescent="0.2">
      <c r="A102" t="s">
        <v>5</v>
      </c>
      <c r="B102" s="5" t="s">
        <v>714</v>
      </c>
    </row>
    <row r="103" spans="1:2" x14ac:dyDescent="0.2">
      <c r="A103" t="s">
        <v>7</v>
      </c>
      <c r="B103" s="5" t="s">
        <v>715</v>
      </c>
    </row>
    <row r="104" spans="1:2" x14ac:dyDescent="0.2">
      <c r="A104" t="s">
        <v>9</v>
      </c>
      <c r="B104" s="5" t="s">
        <v>716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717</v>
      </c>
    </row>
    <row r="108" spans="1:2" x14ac:dyDescent="0.2">
      <c r="A108" t="s">
        <v>3</v>
      </c>
      <c r="B108" s="5">
        <v>6216</v>
      </c>
    </row>
    <row r="109" spans="1:2" x14ac:dyDescent="0.2">
      <c r="A109" t="s">
        <v>4</v>
      </c>
      <c r="B109" s="5">
        <v>4.8</v>
      </c>
    </row>
    <row r="110" spans="1:2" x14ac:dyDescent="0.2">
      <c r="A110" t="s">
        <v>5</v>
      </c>
      <c r="B110" s="5" t="s">
        <v>718</v>
      </c>
    </row>
    <row r="111" spans="1:2" x14ac:dyDescent="0.2">
      <c r="A111" t="s">
        <v>7</v>
      </c>
      <c r="B111" s="5" t="s">
        <v>719</v>
      </c>
    </row>
    <row r="112" spans="1:2" x14ac:dyDescent="0.2">
      <c r="A112" t="s">
        <v>9</v>
      </c>
      <c r="B112" s="5" t="s">
        <v>720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721</v>
      </c>
    </row>
    <row r="116" spans="1:2" x14ac:dyDescent="0.2">
      <c r="A116" t="s">
        <v>3</v>
      </c>
      <c r="B116" s="5">
        <v>6084</v>
      </c>
    </row>
    <row r="117" spans="1:2" x14ac:dyDescent="0.2">
      <c r="A117" t="s">
        <v>4</v>
      </c>
      <c r="B117" s="5">
        <v>4.7</v>
      </c>
    </row>
    <row r="118" spans="1:2" x14ac:dyDescent="0.2">
      <c r="A118" t="s">
        <v>5</v>
      </c>
      <c r="B118" s="5" t="s">
        <v>722</v>
      </c>
    </row>
    <row r="119" spans="1:2" x14ac:dyDescent="0.2">
      <c r="A119" t="s">
        <v>7</v>
      </c>
      <c r="B119" s="5" t="s">
        <v>723</v>
      </c>
    </row>
    <row r="120" spans="1:2" x14ac:dyDescent="0.2">
      <c r="A120" t="s">
        <v>9</v>
      </c>
      <c r="B120" s="5" t="s">
        <v>724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725</v>
      </c>
    </row>
    <row r="124" spans="1:2" x14ac:dyDescent="0.2">
      <c r="A124" t="s">
        <v>3</v>
      </c>
      <c r="B124" s="5">
        <v>5997</v>
      </c>
    </row>
    <row r="125" spans="1:2" x14ac:dyDescent="0.2">
      <c r="A125" t="s">
        <v>4</v>
      </c>
      <c r="B125" s="5">
        <v>4.8</v>
      </c>
    </row>
    <row r="126" spans="1:2" x14ac:dyDescent="0.2">
      <c r="A126" t="s">
        <v>5</v>
      </c>
      <c r="B126" s="5" t="s">
        <v>726</v>
      </c>
    </row>
    <row r="127" spans="1:2" x14ac:dyDescent="0.2">
      <c r="A127" t="s">
        <v>7</v>
      </c>
      <c r="B127" s="5" t="s">
        <v>715</v>
      </c>
    </row>
    <row r="128" spans="1:2" x14ac:dyDescent="0.2">
      <c r="A128" t="s">
        <v>9</v>
      </c>
      <c r="B128" s="5" t="s">
        <v>727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728</v>
      </c>
    </row>
    <row r="132" spans="1:2" x14ac:dyDescent="0.2">
      <c r="A132" t="s">
        <v>3</v>
      </c>
      <c r="B132" s="5">
        <v>5999</v>
      </c>
    </row>
    <row r="133" spans="1:2" x14ac:dyDescent="0.2">
      <c r="A133" t="s">
        <v>4</v>
      </c>
      <c r="B133" s="5">
        <v>4.8</v>
      </c>
    </row>
    <row r="134" spans="1:2" x14ac:dyDescent="0.2">
      <c r="A134" t="s">
        <v>5</v>
      </c>
      <c r="B134" s="5" t="s">
        <v>729</v>
      </c>
    </row>
    <row r="135" spans="1:2" x14ac:dyDescent="0.2">
      <c r="A135" t="s">
        <v>7</v>
      </c>
      <c r="B135" s="5" t="s">
        <v>56</v>
      </c>
    </row>
    <row r="136" spans="1:2" x14ac:dyDescent="0.2">
      <c r="A136" t="s">
        <v>9</v>
      </c>
      <c r="B136" s="5" t="s">
        <v>730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731</v>
      </c>
    </row>
    <row r="140" spans="1:2" x14ac:dyDescent="0.2">
      <c r="A140" t="s">
        <v>3</v>
      </c>
      <c r="B140" s="5">
        <v>5995</v>
      </c>
    </row>
    <row r="141" spans="1:2" x14ac:dyDescent="0.2">
      <c r="A141" t="s">
        <v>4</v>
      </c>
      <c r="B141" s="5">
        <v>4.8</v>
      </c>
    </row>
    <row r="142" spans="1:2" x14ac:dyDescent="0.2">
      <c r="A142" t="s">
        <v>5</v>
      </c>
      <c r="B142" s="5" t="s">
        <v>197</v>
      </c>
    </row>
    <row r="143" spans="1:2" x14ac:dyDescent="0.2">
      <c r="A143" t="s">
        <v>7</v>
      </c>
      <c r="B143" s="5" t="s">
        <v>732</v>
      </c>
    </row>
    <row r="144" spans="1:2" x14ac:dyDescent="0.2">
      <c r="A144" t="s">
        <v>9</v>
      </c>
      <c r="B144" s="5" t="s">
        <v>733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734</v>
      </c>
    </row>
    <row r="148" spans="1:2" x14ac:dyDescent="0.2">
      <c r="A148" t="s">
        <v>3</v>
      </c>
      <c r="B148" s="5">
        <v>5976</v>
      </c>
    </row>
    <row r="149" spans="1:2" x14ac:dyDescent="0.2">
      <c r="A149" t="s">
        <v>4</v>
      </c>
      <c r="B149" s="5">
        <v>4.7</v>
      </c>
    </row>
    <row r="150" spans="1:2" x14ac:dyDescent="0.2">
      <c r="A150" t="s">
        <v>5</v>
      </c>
      <c r="B150" s="5" t="s">
        <v>394</v>
      </c>
    </row>
    <row r="151" spans="1:2" x14ac:dyDescent="0.2">
      <c r="A151" t="s">
        <v>7</v>
      </c>
      <c r="B151" s="5" t="s">
        <v>56</v>
      </c>
    </row>
    <row r="152" spans="1:2" x14ac:dyDescent="0.2">
      <c r="A152" t="s">
        <v>9</v>
      </c>
      <c r="B152" s="5" t="s">
        <v>735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736</v>
      </c>
    </row>
    <row r="156" spans="1:2" x14ac:dyDescent="0.2">
      <c r="A156" t="s">
        <v>3</v>
      </c>
      <c r="B156" s="5">
        <v>5839</v>
      </c>
    </row>
    <row r="157" spans="1:2" x14ac:dyDescent="0.2">
      <c r="A157" t="s">
        <v>4</v>
      </c>
      <c r="B157" s="5">
        <v>4.7</v>
      </c>
    </row>
    <row r="158" spans="1:2" x14ac:dyDescent="0.2">
      <c r="A158" t="s">
        <v>5</v>
      </c>
      <c r="B158" s="5" t="s">
        <v>737</v>
      </c>
    </row>
    <row r="159" spans="1:2" x14ac:dyDescent="0.2">
      <c r="A159" t="s">
        <v>7</v>
      </c>
      <c r="B159" s="5" t="s">
        <v>738</v>
      </c>
    </row>
    <row r="160" spans="1:2" x14ac:dyDescent="0.2">
      <c r="A160" t="s">
        <v>9</v>
      </c>
      <c r="B160" s="5" t="s">
        <v>739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740</v>
      </c>
    </row>
    <row r="164" spans="1:2" x14ac:dyDescent="0.2">
      <c r="A164" t="s">
        <v>3</v>
      </c>
      <c r="B164" s="5">
        <v>5768</v>
      </c>
    </row>
    <row r="165" spans="1:2" x14ac:dyDescent="0.2">
      <c r="A165" t="s">
        <v>4</v>
      </c>
      <c r="B165" s="5">
        <v>4.5</v>
      </c>
    </row>
    <row r="166" spans="1:2" x14ac:dyDescent="0.2">
      <c r="A166" t="s">
        <v>5</v>
      </c>
      <c r="B166" s="5" t="s">
        <v>741</v>
      </c>
    </row>
    <row r="167" spans="1:2" x14ac:dyDescent="0.2">
      <c r="A167" t="s">
        <v>7</v>
      </c>
      <c r="B167" s="5" t="s">
        <v>700</v>
      </c>
    </row>
    <row r="168" spans="1:2" x14ac:dyDescent="0.2">
      <c r="A168" t="s">
        <v>9</v>
      </c>
      <c r="B168" s="5" t="s">
        <v>742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743</v>
      </c>
    </row>
    <row r="172" spans="1:2" x14ac:dyDescent="0.2">
      <c r="A172" t="s">
        <v>3</v>
      </c>
      <c r="B172" s="5">
        <v>5765</v>
      </c>
    </row>
    <row r="173" spans="1:2" x14ac:dyDescent="0.2">
      <c r="A173" t="s">
        <v>4</v>
      </c>
      <c r="B173" s="5">
        <v>4.7</v>
      </c>
    </row>
    <row r="174" spans="1:2" x14ac:dyDescent="0.2">
      <c r="A174" t="s">
        <v>5</v>
      </c>
      <c r="B174" s="5" t="s">
        <v>467</v>
      </c>
    </row>
    <row r="175" spans="1:2" x14ac:dyDescent="0.2">
      <c r="A175" t="s">
        <v>7</v>
      </c>
      <c r="B175" s="5" t="s">
        <v>738</v>
      </c>
    </row>
    <row r="176" spans="1:2" x14ac:dyDescent="0.2">
      <c r="A176" t="s">
        <v>9</v>
      </c>
      <c r="B176" s="5" t="s">
        <v>109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744</v>
      </c>
    </row>
    <row r="180" spans="1:2" x14ac:dyDescent="0.2">
      <c r="A180" t="s">
        <v>3</v>
      </c>
      <c r="B180" s="5">
        <v>5755</v>
      </c>
    </row>
    <row r="181" spans="1:2" x14ac:dyDescent="0.2">
      <c r="A181" t="s">
        <v>4</v>
      </c>
      <c r="B181" s="5">
        <v>4.7</v>
      </c>
    </row>
    <row r="182" spans="1:2" x14ac:dyDescent="0.2">
      <c r="A182" t="s">
        <v>5</v>
      </c>
      <c r="B182" s="5" t="s">
        <v>745</v>
      </c>
    </row>
    <row r="183" spans="1:2" x14ac:dyDescent="0.2">
      <c r="A183" t="s">
        <v>7</v>
      </c>
      <c r="B183" s="5" t="s">
        <v>746</v>
      </c>
    </row>
    <row r="184" spans="1:2" x14ac:dyDescent="0.2">
      <c r="A184" t="s">
        <v>9</v>
      </c>
      <c r="B184" s="5" t="s">
        <v>701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747</v>
      </c>
    </row>
    <row r="188" spans="1:2" x14ac:dyDescent="0.2">
      <c r="A188" t="s">
        <v>3</v>
      </c>
      <c r="B188" s="5">
        <v>5704</v>
      </c>
    </row>
    <row r="189" spans="1:2" x14ac:dyDescent="0.2">
      <c r="A189" t="s">
        <v>4</v>
      </c>
      <c r="B189" s="5">
        <v>4.8</v>
      </c>
    </row>
    <row r="190" spans="1:2" x14ac:dyDescent="0.2">
      <c r="A190" t="s">
        <v>5</v>
      </c>
      <c r="B190" s="5" t="s">
        <v>748</v>
      </c>
    </row>
    <row r="191" spans="1:2" x14ac:dyDescent="0.2">
      <c r="A191" t="s">
        <v>7</v>
      </c>
      <c r="B191" s="5" t="s">
        <v>56</v>
      </c>
    </row>
    <row r="192" spans="1:2" x14ac:dyDescent="0.2">
      <c r="A192" t="s">
        <v>9</v>
      </c>
      <c r="B192" s="5" t="s">
        <v>749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750</v>
      </c>
    </row>
    <row r="196" spans="1:2" x14ac:dyDescent="0.2">
      <c r="A196" t="s">
        <v>3</v>
      </c>
      <c r="B196" s="5">
        <v>5660</v>
      </c>
    </row>
    <row r="197" spans="1:2" x14ac:dyDescent="0.2">
      <c r="A197" t="s">
        <v>4</v>
      </c>
      <c r="B197" s="5">
        <v>4.7</v>
      </c>
    </row>
    <row r="198" spans="1:2" x14ac:dyDescent="0.2">
      <c r="A198" t="s">
        <v>5</v>
      </c>
      <c r="B198" s="5" t="s">
        <v>751</v>
      </c>
    </row>
    <row r="199" spans="1:2" x14ac:dyDescent="0.2">
      <c r="A199" t="s">
        <v>7</v>
      </c>
      <c r="B199" s="5" t="s">
        <v>752</v>
      </c>
    </row>
    <row r="200" spans="1:2" x14ac:dyDescent="0.2">
      <c r="A200" t="s">
        <v>9</v>
      </c>
      <c r="B200" s="5" t="s">
        <v>753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754</v>
      </c>
    </row>
    <row r="204" spans="1:2" x14ac:dyDescent="0.2">
      <c r="A204" t="s">
        <v>3</v>
      </c>
      <c r="B204" s="5">
        <v>5459</v>
      </c>
    </row>
    <row r="205" spans="1:2" x14ac:dyDescent="0.2">
      <c r="A205" t="s">
        <v>4</v>
      </c>
      <c r="B205" s="5">
        <v>4.8</v>
      </c>
    </row>
    <row r="206" spans="1:2" x14ac:dyDescent="0.2">
      <c r="A206" t="s">
        <v>5</v>
      </c>
      <c r="B206" s="5" t="s">
        <v>755</v>
      </c>
    </row>
    <row r="207" spans="1:2" x14ac:dyDescent="0.2">
      <c r="A207" t="s">
        <v>7</v>
      </c>
      <c r="B207" s="5" t="s">
        <v>756</v>
      </c>
    </row>
    <row r="208" spans="1:2" x14ac:dyDescent="0.2">
      <c r="A208" t="s">
        <v>9</v>
      </c>
      <c r="B208" s="5" t="s">
        <v>757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758</v>
      </c>
    </row>
    <row r="212" spans="1:2" x14ac:dyDescent="0.2">
      <c r="A212" t="s">
        <v>3</v>
      </c>
      <c r="B212" s="5">
        <v>5437</v>
      </c>
    </row>
    <row r="213" spans="1:2" x14ac:dyDescent="0.2">
      <c r="A213" t="s">
        <v>4</v>
      </c>
      <c r="B213" s="5">
        <v>4.7</v>
      </c>
    </row>
    <row r="214" spans="1:2" x14ac:dyDescent="0.2">
      <c r="A214" t="s">
        <v>5</v>
      </c>
      <c r="B214" s="5" t="s">
        <v>759</v>
      </c>
    </row>
    <row r="215" spans="1:2" x14ac:dyDescent="0.2">
      <c r="A215" t="s">
        <v>7</v>
      </c>
      <c r="B215" s="5" t="s">
        <v>681</v>
      </c>
    </row>
    <row r="216" spans="1:2" x14ac:dyDescent="0.2">
      <c r="A216" t="s">
        <v>9</v>
      </c>
      <c r="B216" s="5" t="s">
        <v>760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761</v>
      </c>
    </row>
    <row r="220" spans="1:2" x14ac:dyDescent="0.2">
      <c r="A220" t="s">
        <v>3</v>
      </c>
      <c r="B220" s="5">
        <v>5417</v>
      </c>
    </row>
    <row r="221" spans="1:2" x14ac:dyDescent="0.2">
      <c r="A221" t="s">
        <v>4</v>
      </c>
      <c r="B221" s="5">
        <v>4.8</v>
      </c>
    </row>
    <row r="222" spans="1:2" x14ac:dyDescent="0.2">
      <c r="A222" t="s">
        <v>5</v>
      </c>
      <c r="B222" s="5" t="s">
        <v>495</v>
      </c>
    </row>
    <row r="223" spans="1:2" x14ac:dyDescent="0.2">
      <c r="A223" t="s">
        <v>7</v>
      </c>
      <c r="B223" s="5" t="s">
        <v>89</v>
      </c>
    </row>
    <row r="224" spans="1:2" x14ac:dyDescent="0.2">
      <c r="A224" t="s">
        <v>9</v>
      </c>
      <c r="B224" s="5" t="s">
        <v>762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763</v>
      </c>
    </row>
    <row r="228" spans="1:2" x14ac:dyDescent="0.2">
      <c r="A228" t="s">
        <v>3</v>
      </c>
      <c r="B228" s="5">
        <v>5295</v>
      </c>
    </row>
    <row r="229" spans="1:2" x14ac:dyDescent="0.2">
      <c r="A229" t="s">
        <v>4</v>
      </c>
      <c r="B229" s="5">
        <v>4.5</v>
      </c>
    </row>
    <row r="230" spans="1:2" x14ac:dyDescent="0.2">
      <c r="A230" t="s">
        <v>5</v>
      </c>
      <c r="B230" s="5" t="s">
        <v>764</v>
      </c>
    </row>
    <row r="231" spans="1:2" x14ac:dyDescent="0.2">
      <c r="A231" t="s">
        <v>7</v>
      </c>
      <c r="B231" s="5" t="s">
        <v>40</v>
      </c>
    </row>
    <row r="232" spans="1:2" x14ac:dyDescent="0.2">
      <c r="A232" t="s">
        <v>9</v>
      </c>
      <c r="B232" s="5" t="s">
        <v>765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766</v>
      </c>
    </row>
    <row r="236" spans="1:2" x14ac:dyDescent="0.2">
      <c r="A236" t="s">
        <v>3</v>
      </c>
      <c r="B236" s="5">
        <v>5288</v>
      </c>
    </row>
    <row r="237" spans="1:2" x14ac:dyDescent="0.2">
      <c r="A237" t="s">
        <v>4</v>
      </c>
      <c r="B237" s="5">
        <v>4.8</v>
      </c>
    </row>
    <row r="238" spans="1:2" x14ac:dyDescent="0.2">
      <c r="A238" t="s">
        <v>5</v>
      </c>
      <c r="B238" s="5" t="s">
        <v>767</v>
      </c>
    </row>
    <row r="239" spans="1:2" x14ac:dyDescent="0.2">
      <c r="A239" t="s">
        <v>7</v>
      </c>
      <c r="B239" s="5" t="s">
        <v>337</v>
      </c>
    </row>
    <row r="240" spans="1:2" x14ac:dyDescent="0.2">
      <c r="A240" t="s">
        <v>9</v>
      </c>
      <c r="B240" s="5" t="s">
        <v>345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768</v>
      </c>
    </row>
    <row r="244" spans="1:2" x14ac:dyDescent="0.2">
      <c r="A244" t="s">
        <v>3</v>
      </c>
      <c r="B244" s="5">
        <v>5282</v>
      </c>
    </row>
    <row r="245" spans="1:2" x14ac:dyDescent="0.2">
      <c r="A245" t="s">
        <v>4</v>
      </c>
      <c r="B245" s="5">
        <v>4.7</v>
      </c>
    </row>
    <row r="246" spans="1:2" x14ac:dyDescent="0.2">
      <c r="A246" t="s">
        <v>5</v>
      </c>
      <c r="B246" s="5" t="s">
        <v>769</v>
      </c>
    </row>
    <row r="247" spans="1:2" x14ac:dyDescent="0.2">
      <c r="A247" t="s">
        <v>7</v>
      </c>
      <c r="B247" s="5" t="s">
        <v>770</v>
      </c>
    </row>
    <row r="248" spans="1:2" x14ac:dyDescent="0.2">
      <c r="A248" t="s">
        <v>9</v>
      </c>
      <c r="B248" s="5" t="s">
        <v>771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772</v>
      </c>
    </row>
    <row r="252" spans="1:2" x14ac:dyDescent="0.2">
      <c r="A252" t="s">
        <v>3</v>
      </c>
      <c r="B252" s="5">
        <v>5278</v>
      </c>
    </row>
    <row r="253" spans="1:2" x14ac:dyDescent="0.2">
      <c r="A253" t="s">
        <v>4</v>
      </c>
      <c r="B253" s="5">
        <v>4.7</v>
      </c>
    </row>
    <row r="254" spans="1:2" x14ac:dyDescent="0.2">
      <c r="A254" t="s">
        <v>5</v>
      </c>
      <c r="B254" s="5" t="s">
        <v>773</v>
      </c>
    </row>
    <row r="255" spans="1:2" x14ac:dyDescent="0.2">
      <c r="A255" t="s">
        <v>7</v>
      </c>
      <c r="B255" s="5" t="s">
        <v>738</v>
      </c>
    </row>
    <row r="256" spans="1:2" x14ac:dyDescent="0.2">
      <c r="A256" t="s">
        <v>9</v>
      </c>
      <c r="B256" s="5" t="s">
        <v>774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775</v>
      </c>
    </row>
    <row r="260" spans="1:2" x14ac:dyDescent="0.2">
      <c r="A260" t="s">
        <v>3</v>
      </c>
      <c r="B260" s="5">
        <v>5109</v>
      </c>
    </row>
    <row r="261" spans="1:2" x14ac:dyDescent="0.2">
      <c r="A261" t="s">
        <v>4</v>
      </c>
      <c r="B261" s="5">
        <v>4.8</v>
      </c>
    </row>
    <row r="262" spans="1:2" x14ac:dyDescent="0.2">
      <c r="A262" t="s">
        <v>5</v>
      </c>
      <c r="B262" s="5" t="s">
        <v>528</v>
      </c>
    </row>
    <row r="263" spans="1:2" x14ac:dyDescent="0.2">
      <c r="A263" t="s">
        <v>7</v>
      </c>
      <c r="B263" s="5" t="s">
        <v>746</v>
      </c>
    </row>
    <row r="264" spans="1:2" x14ac:dyDescent="0.2">
      <c r="A264" t="s">
        <v>9</v>
      </c>
      <c r="B264" s="5" t="s">
        <v>776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777</v>
      </c>
    </row>
    <row r="268" spans="1:2" x14ac:dyDescent="0.2">
      <c r="A268" t="s">
        <v>3</v>
      </c>
      <c r="B268" s="5">
        <v>5032</v>
      </c>
    </row>
    <row r="269" spans="1:2" x14ac:dyDescent="0.2">
      <c r="A269" t="s">
        <v>4</v>
      </c>
      <c r="B269" s="5">
        <v>4.4000000000000004</v>
      </c>
    </row>
    <row r="270" spans="1:2" x14ac:dyDescent="0.2">
      <c r="A270" t="s">
        <v>5</v>
      </c>
      <c r="B270" s="5" t="s">
        <v>778</v>
      </c>
    </row>
    <row r="271" spans="1:2" x14ac:dyDescent="0.2">
      <c r="A271" t="s">
        <v>7</v>
      </c>
      <c r="B271" s="5" t="s">
        <v>752</v>
      </c>
    </row>
    <row r="272" spans="1:2" x14ac:dyDescent="0.2">
      <c r="A272" t="s">
        <v>9</v>
      </c>
      <c r="B272" s="5" t="s">
        <v>779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780</v>
      </c>
    </row>
    <row r="276" spans="1:2" x14ac:dyDescent="0.2">
      <c r="A276" t="s">
        <v>3</v>
      </c>
      <c r="B276" s="5">
        <v>5011</v>
      </c>
    </row>
    <row r="277" spans="1:2" x14ac:dyDescent="0.2">
      <c r="A277" t="s">
        <v>4</v>
      </c>
      <c r="B277" s="5">
        <v>4.5999999999999996</v>
      </c>
    </row>
    <row r="278" spans="1:2" x14ac:dyDescent="0.2">
      <c r="A278" t="s">
        <v>5</v>
      </c>
      <c r="B278" s="5" t="s">
        <v>781</v>
      </c>
    </row>
    <row r="279" spans="1:2" x14ac:dyDescent="0.2">
      <c r="A279" t="s">
        <v>7</v>
      </c>
      <c r="B279" s="5" t="s">
        <v>143</v>
      </c>
    </row>
    <row r="280" spans="1:2" x14ac:dyDescent="0.2">
      <c r="A280" t="s">
        <v>9</v>
      </c>
      <c r="B280" s="5" t="s">
        <v>782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783</v>
      </c>
    </row>
    <row r="284" spans="1:2" x14ac:dyDescent="0.2">
      <c r="A284" t="s">
        <v>3</v>
      </c>
      <c r="B284" s="5">
        <v>5010</v>
      </c>
    </row>
    <row r="285" spans="1:2" x14ac:dyDescent="0.2">
      <c r="A285" t="s">
        <v>4</v>
      </c>
      <c r="B285" s="5">
        <v>4.5999999999999996</v>
      </c>
    </row>
    <row r="286" spans="1:2" x14ac:dyDescent="0.2">
      <c r="A286" t="s">
        <v>5</v>
      </c>
      <c r="B286" s="5" t="s">
        <v>784</v>
      </c>
    </row>
    <row r="287" spans="1:2" x14ac:dyDescent="0.2">
      <c r="A287" t="s">
        <v>7</v>
      </c>
      <c r="B287" s="5" t="s">
        <v>696</v>
      </c>
    </row>
    <row r="288" spans="1:2" x14ac:dyDescent="0.2">
      <c r="A288" t="s">
        <v>9</v>
      </c>
      <c r="B288" s="5" t="s">
        <v>785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786</v>
      </c>
    </row>
    <row r="292" spans="1:2" x14ac:dyDescent="0.2">
      <c r="A292" t="s">
        <v>3</v>
      </c>
      <c r="B292" s="5">
        <v>4979</v>
      </c>
    </row>
    <row r="293" spans="1:2" x14ac:dyDescent="0.2">
      <c r="A293" t="s">
        <v>4</v>
      </c>
      <c r="B293" s="5">
        <v>4.8</v>
      </c>
    </row>
    <row r="294" spans="1:2" x14ac:dyDescent="0.2">
      <c r="A294" t="s">
        <v>5</v>
      </c>
      <c r="B294" s="5" t="s">
        <v>111</v>
      </c>
    </row>
    <row r="295" spans="1:2" x14ac:dyDescent="0.2">
      <c r="A295" t="s">
        <v>7</v>
      </c>
      <c r="B295" s="5" t="s">
        <v>787</v>
      </c>
    </row>
    <row r="296" spans="1:2" x14ac:dyDescent="0.2">
      <c r="A296" t="s">
        <v>9</v>
      </c>
      <c r="B296" s="5" t="s">
        <v>788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789</v>
      </c>
    </row>
    <row r="300" spans="1:2" x14ac:dyDescent="0.2">
      <c r="A300" t="s">
        <v>3</v>
      </c>
      <c r="B300" s="5">
        <v>4952</v>
      </c>
    </row>
    <row r="301" spans="1:2" x14ac:dyDescent="0.2">
      <c r="A301" t="s">
        <v>4</v>
      </c>
      <c r="B301" s="5">
        <v>4.7</v>
      </c>
    </row>
    <row r="302" spans="1:2" x14ac:dyDescent="0.2">
      <c r="A302" t="s">
        <v>5</v>
      </c>
      <c r="B302" s="5" t="s">
        <v>790</v>
      </c>
    </row>
    <row r="303" spans="1:2" x14ac:dyDescent="0.2">
      <c r="A303" t="s">
        <v>7</v>
      </c>
      <c r="B303" s="5" t="s">
        <v>723</v>
      </c>
    </row>
    <row r="304" spans="1:2" x14ac:dyDescent="0.2">
      <c r="A304" t="s">
        <v>9</v>
      </c>
      <c r="B304" s="5" t="s">
        <v>791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792</v>
      </c>
    </row>
    <row r="308" spans="1:2" x14ac:dyDescent="0.2">
      <c r="A308" t="s">
        <v>3</v>
      </c>
      <c r="B308" s="5">
        <v>4871</v>
      </c>
    </row>
    <row r="309" spans="1:2" x14ac:dyDescent="0.2">
      <c r="A309" t="s">
        <v>4</v>
      </c>
      <c r="B309" s="5">
        <v>4.7</v>
      </c>
    </row>
    <row r="310" spans="1:2" x14ac:dyDescent="0.2">
      <c r="A310" t="s">
        <v>5</v>
      </c>
      <c r="B310" s="5" t="s">
        <v>793</v>
      </c>
    </row>
    <row r="311" spans="1:2" x14ac:dyDescent="0.2">
      <c r="A311" t="s">
        <v>7</v>
      </c>
      <c r="B311" s="5" t="s">
        <v>794</v>
      </c>
    </row>
    <row r="312" spans="1:2" x14ac:dyDescent="0.2">
      <c r="A312" t="s">
        <v>9</v>
      </c>
      <c r="B312" s="5" t="s">
        <v>795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796</v>
      </c>
    </row>
    <row r="316" spans="1:2" x14ac:dyDescent="0.2">
      <c r="A316" t="s">
        <v>3</v>
      </c>
      <c r="B316" s="5">
        <v>4862</v>
      </c>
    </row>
    <row r="317" spans="1:2" x14ac:dyDescent="0.2">
      <c r="A317" t="s">
        <v>4</v>
      </c>
      <c r="B317" s="5">
        <v>4.5</v>
      </c>
    </row>
    <row r="318" spans="1:2" x14ac:dyDescent="0.2">
      <c r="A318" t="s">
        <v>5</v>
      </c>
      <c r="B318" s="5" t="s">
        <v>797</v>
      </c>
    </row>
    <row r="319" spans="1:2" x14ac:dyDescent="0.2">
      <c r="A319" t="s">
        <v>7</v>
      </c>
      <c r="B319" s="5" t="s">
        <v>798</v>
      </c>
    </row>
    <row r="320" spans="1:2" x14ac:dyDescent="0.2">
      <c r="A320" t="s">
        <v>9</v>
      </c>
      <c r="B320" s="5" t="s">
        <v>799</v>
      </c>
    </row>
    <row r="322" spans="1:2" x14ac:dyDescent="0.2">
      <c r="A322" t="s">
        <v>0</v>
      </c>
      <c r="B322" s="5">
        <v>41</v>
      </c>
    </row>
    <row r="323" spans="1:2" x14ac:dyDescent="0.2">
      <c r="A323" t="s">
        <v>1</v>
      </c>
      <c r="B323" s="5" t="s">
        <v>800</v>
      </c>
    </row>
    <row r="324" spans="1:2" x14ac:dyDescent="0.2">
      <c r="A324" t="s">
        <v>3</v>
      </c>
      <c r="B324" s="5">
        <v>4854</v>
      </c>
    </row>
    <row r="325" spans="1:2" x14ac:dyDescent="0.2">
      <c r="A325" t="s">
        <v>4</v>
      </c>
      <c r="B325" s="5">
        <v>4.7</v>
      </c>
    </row>
    <row r="326" spans="1:2" x14ac:dyDescent="0.2">
      <c r="A326" t="s">
        <v>5</v>
      </c>
      <c r="B326" s="5" t="s">
        <v>801</v>
      </c>
    </row>
    <row r="327" spans="1:2" x14ac:dyDescent="0.2">
      <c r="A327" t="s">
        <v>7</v>
      </c>
      <c r="B327" s="5" t="s">
        <v>802</v>
      </c>
    </row>
    <row r="328" spans="1:2" x14ac:dyDescent="0.2">
      <c r="A328" t="s">
        <v>9</v>
      </c>
      <c r="B328" s="5" t="s">
        <v>803</v>
      </c>
    </row>
    <row r="330" spans="1:2" x14ac:dyDescent="0.2">
      <c r="A330" t="s">
        <v>0</v>
      </c>
      <c r="B330" s="5">
        <v>42</v>
      </c>
    </row>
    <row r="331" spans="1:2" x14ac:dyDescent="0.2">
      <c r="A331" t="s">
        <v>1</v>
      </c>
      <c r="B331" s="5" t="s">
        <v>804</v>
      </c>
    </row>
    <row r="332" spans="1:2" x14ac:dyDescent="0.2">
      <c r="A332" t="s">
        <v>3</v>
      </c>
      <c r="B332" s="5">
        <v>4816</v>
      </c>
    </row>
    <row r="333" spans="1:2" x14ac:dyDescent="0.2">
      <c r="A333" t="s">
        <v>4</v>
      </c>
      <c r="B333" s="5">
        <v>4.5999999999999996</v>
      </c>
    </row>
    <row r="334" spans="1:2" x14ac:dyDescent="0.2">
      <c r="A334" t="s">
        <v>5</v>
      </c>
      <c r="B334" s="5" t="s">
        <v>569</v>
      </c>
    </row>
    <row r="335" spans="1:2" x14ac:dyDescent="0.2">
      <c r="A335" t="s">
        <v>7</v>
      </c>
      <c r="B335" s="5" t="s">
        <v>770</v>
      </c>
    </row>
    <row r="336" spans="1:2" x14ac:dyDescent="0.2">
      <c r="A336" t="s">
        <v>9</v>
      </c>
      <c r="B336" s="5" t="s">
        <v>805</v>
      </c>
    </row>
    <row r="338" spans="1:2" x14ac:dyDescent="0.2">
      <c r="A338" t="s">
        <v>0</v>
      </c>
      <c r="B338" s="5">
        <v>43</v>
      </c>
    </row>
    <row r="339" spans="1:2" x14ac:dyDescent="0.2">
      <c r="A339" t="s">
        <v>1</v>
      </c>
      <c r="B339" s="5" t="s">
        <v>806</v>
      </c>
    </row>
    <row r="340" spans="1:2" x14ac:dyDescent="0.2">
      <c r="A340" t="s">
        <v>3</v>
      </c>
      <c r="B340" s="5">
        <v>4812</v>
      </c>
    </row>
    <row r="341" spans="1:2" x14ac:dyDescent="0.2">
      <c r="A341" t="s">
        <v>4</v>
      </c>
      <c r="B341" s="5">
        <v>4.5</v>
      </c>
    </row>
    <row r="342" spans="1:2" x14ac:dyDescent="0.2">
      <c r="A342" t="s">
        <v>5</v>
      </c>
      <c r="B342" s="5" t="s">
        <v>759</v>
      </c>
    </row>
    <row r="343" spans="1:2" x14ac:dyDescent="0.2">
      <c r="A343" t="s">
        <v>7</v>
      </c>
      <c r="B343" s="5" t="s">
        <v>787</v>
      </c>
    </row>
    <row r="344" spans="1:2" x14ac:dyDescent="0.2">
      <c r="A344" t="s">
        <v>9</v>
      </c>
      <c r="B344" s="5" t="s">
        <v>807</v>
      </c>
    </row>
    <row r="346" spans="1:2" x14ac:dyDescent="0.2">
      <c r="A346" t="s">
        <v>0</v>
      </c>
      <c r="B346" s="5">
        <v>44</v>
      </c>
    </row>
    <row r="347" spans="1:2" x14ac:dyDescent="0.2">
      <c r="A347" t="s">
        <v>1</v>
      </c>
      <c r="B347" s="5" t="s">
        <v>808</v>
      </c>
    </row>
    <row r="348" spans="1:2" x14ac:dyDescent="0.2">
      <c r="A348" t="s">
        <v>3</v>
      </c>
      <c r="B348" s="5">
        <v>4764</v>
      </c>
    </row>
    <row r="349" spans="1:2" x14ac:dyDescent="0.2">
      <c r="A349" t="s">
        <v>4</v>
      </c>
      <c r="B349" s="5">
        <v>4.5999999999999996</v>
      </c>
    </row>
    <row r="350" spans="1:2" x14ac:dyDescent="0.2">
      <c r="A350" t="s">
        <v>5</v>
      </c>
      <c r="B350" s="5" t="s">
        <v>809</v>
      </c>
    </row>
    <row r="351" spans="1:2" x14ac:dyDescent="0.2">
      <c r="A351" t="s">
        <v>7</v>
      </c>
      <c r="B351" s="5" t="s">
        <v>810</v>
      </c>
    </row>
    <row r="352" spans="1:2" x14ac:dyDescent="0.2">
      <c r="A352" t="s">
        <v>9</v>
      </c>
      <c r="B352" s="5" t="s">
        <v>811</v>
      </c>
    </row>
    <row r="354" spans="1:2" x14ac:dyDescent="0.2">
      <c r="A354" t="s">
        <v>0</v>
      </c>
      <c r="B354" s="5">
        <v>45</v>
      </c>
    </row>
    <row r="355" spans="1:2" x14ac:dyDescent="0.2">
      <c r="A355" t="s">
        <v>1</v>
      </c>
      <c r="B355" s="5" t="s">
        <v>812</v>
      </c>
    </row>
    <row r="356" spans="1:2" x14ac:dyDescent="0.2">
      <c r="A356" t="s">
        <v>3</v>
      </c>
      <c r="B356" s="5">
        <v>4725</v>
      </c>
    </row>
    <row r="357" spans="1:2" x14ac:dyDescent="0.2">
      <c r="A357" t="s">
        <v>4</v>
      </c>
      <c r="B357" s="5">
        <v>4.5999999999999996</v>
      </c>
    </row>
    <row r="358" spans="1:2" x14ac:dyDescent="0.2">
      <c r="A358" t="s">
        <v>5</v>
      </c>
      <c r="B358" s="5" t="s">
        <v>813</v>
      </c>
    </row>
    <row r="359" spans="1:2" x14ac:dyDescent="0.2">
      <c r="A359" t="s">
        <v>7</v>
      </c>
      <c r="B359" s="5" t="s">
        <v>787</v>
      </c>
    </row>
    <row r="360" spans="1:2" x14ac:dyDescent="0.2">
      <c r="A360" t="s">
        <v>9</v>
      </c>
      <c r="B360" s="5" t="s">
        <v>814</v>
      </c>
    </row>
    <row r="362" spans="1:2" x14ac:dyDescent="0.2">
      <c r="A362" t="s">
        <v>0</v>
      </c>
      <c r="B362" s="5">
        <v>46</v>
      </c>
    </row>
    <row r="363" spans="1:2" x14ac:dyDescent="0.2">
      <c r="A363" t="s">
        <v>1</v>
      </c>
      <c r="B363" s="5" t="s">
        <v>815</v>
      </c>
    </row>
    <row r="364" spans="1:2" x14ac:dyDescent="0.2">
      <c r="A364" t="s">
        <v>3</v>
      </c>
      <c r="B364" s="5">
        <v>4711</v>
      </c>
    </row>
    <row r="365" spans="1:2" x14ac:dyDescent="0.2">
      <c r="A365" t="s">
        <v>4</v>
      </c>
      <c r="B365" s="5">
        <v>4.5999999999999996</v>
      </c>
    </row>
    <row r="366" spans="1:2" x14ac:dyDescent="0.2">
      <c r="A366" t="s">
        <v>5</v>
      </c>
      <c r="B366" s="5" t="s">
        <v>607</v>
      </c>
    </row>
    <row r="367" spans="1:2" x14ac:dyDescent="0.2">
      <c r="A367" t="s">
        <v>7</v>
      </c>
      <c r="B367" s="5" t="s">
        <v>746</v>
      </c>
    </row>
    <row r="368" spans="1:2" x14ac:dyDescent="0.2">
      <c r="A368" t="s">
        <v>9</v>
      </c>
      <c r="B368" s="5" t="s">
        <v>816</v>
      </c>
    </row>
    <row r="370" spans="1:2" x14ac:dyDescent="0.2">
      <c r="A370" t="s">
        <v>0</v>
      </c>
      <c r="B370" s="5">
        <v>47</v>
      </c>
    </row>
    <row r="371" spans="1:2" x14ac:dyDescent="0.2">
      <c r="A371" t="s">
        <v>1</v>
      </c>
      <c r="B371" s="5" t="s">
        <v>817</v>
      </c>
    </row>
    <row r="372" spans="1:2" x14ac:dyDescent="0.2">
      <c r="A372" t="s">
        <v>3</v>
      </c>
      <c r="B372" s="5">
        <v>4692</v>
      </c>
    </row>
    <row r="373" spans="1:2" x14ac:dyDescent="0.2">
      <c r="A373" t="s">
        <v>4</v>
      </c>
      <c r="B373" s="5">
        <v>4.8</v>
      </c>
    </row>
    <row r="374" spans="1:2" x14ac:dyDescent="0.2">
      <c r="A374" t="s">
        <v>5</v>
      </c>
      <c r="B374" s="5" t="s">
        <v>818</v>
      </c>
    </row>
    <row r="375" spans="1:2" x14ac:dyDescent="0.2">
      <c r="A375" t="s">
        <v>7</v>
      </c>
      <c r="B375" s="5" t="s">
        <v>681</v>
      </c>
    </row>
    <row r="376" spans="1:2" x14ac:dyDescent="0.2">
      <c r="A376" t="s">
        <v>9</v>
      </c>
      <c r="B376" s="5" t="s">
        <v>819</v>
      </c>
    </row>
    <row r="378" spans="1:2" x14ac:dyDescent="0.2">
      <c r="A378" t="s">
        <v>0</v>
      </c>
      <c r="B378" s="5">
        <v>48</v>
      </c>
    </row>
    <row r="379" spans="1:2" x14ac:dyDescent="0.2">
      <c r="A379" t="s">
        <v>1</v>
      </c>
      <c r="B379" s="5" t="s">
        <v>820</v>
      </c>
    </row>
    <row r="380" spans="1:2" x14ac:dyDescent="0.2">
      <c r="A380" t="s">
        <v>3</v>
      </c>
      <c r="B380" s="5">
        <v>4687</v>
      </c>
    </row>
    <row r="381" spans="1:2" x14ac:dyDescent="0.2">
      <c r="A381" t="s">
        <v>4</v>
      </c>
      <c r="B381" s="5">
        <v>4.7</v>
      </c>
    </row>
    <row r="382" spans="1:2" x14ac:dyDescent="0.2">
      <c r="A382" t="s">
        <v>5</v>
      </c>
      <c r="B382" s="5" t="s">
        <v>448</v>
      </c>
    </row>
    <row r="383" spans="1:2" x14ac:dyDescent="0.2">
      <c r="A383" t="s">
        <v>7</v>
      </c>
      <c r="B383" s="5" t="s">
        <v>738</v>
      </c>
    </row>
    <row r="384" spans="1:2" x14ac:dyDescent="0.2">
      <c r="A384" t="s">
        <v>9</v>
      </c>
      <c r="B384" s="5" t="s">
        <v>821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782AE-2372-4DCF-84A0-F03B01B8D130}">
  <sheetPr codeName="Sheet11">
    <tabColor rgb="FFFFC000"/>
  </sheetPr>
  <dimension ref="A1"/>
  <sheetViews>
    <sheetView workbookViewId="0"/>
  </sheetViews>
  <sheetFormatPr defaultRowHeight="14.25" x14ac:dyDescent="0.2"/>
  <cols>
    <col min="1" max="1" width="12.625" bestFit="1" customWidth="1"/>
    <col min="2" max="2" width="7.12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1" ht="15" thickBot="1" x14ac:dyDescent="0.25">
      <c r="A1" s="10" t="str">
        <f>HYPERLINK(INDEX(获取工作表名,1)&amp;"!A"&amp;MATCH("江西上饶店",汇总!B:B,0),"江西上饶店")</f>
        <v>江西上饶店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05031-0AE9-44D4-A7CC-623CC839DB47}">
  <sheetPr codeName="Sheet12">
    <tabColor rgb="FFFFC000"/>
  </sheetPr>
  <dimension ref="A1:A19"/>
  <sheetViews>
    <sheetView workbookViewId="0"/>
  </sheetViews>
  <sheetFormatPr defaultRowHeight="14.25" x14ac:dyDescent="0.2"/>
  <sheetData>
    <row r="1" spans="1:1" ht="15" thickBot="1" x14ac:dyDescent="0.25">
      <c r="A1" s="10" t="str">
        <f>HYPERLINK(INDEX(获取工作表名,1)&amp;"!A"&amp;MATCH("江西南昌财大店",汇总!B:B,0),"江西南昌财大店")</f>
        <v>江西南昌财大店</v>
      </c>
    </row>
    <row r="13" spans="1:1" s="3" customFormat="1" x14ac:dyDescent="0.2"/>
    <row r="14" spans="1:1" s="3" customFormat="1" x14ac:dyDescent="0.2"/>
    <row r="15" spans="1:1" s="3" customFormat="1" x14ac:dyDescent="0.2"/>
    <row r="16" spans="1:1" s="3" customFormat="1" x14ac:dyDescent="0.2"/>
    <row r="17" s="3" customFormat="1" x14ac:dyDescent="0.2"/>
    <row r="18" s="3" customFormat="1" x14ac:dyDescent="0.2"/>
    <row r="19" s="3" customFormat="1" x14ac:dyDescent="0.2"/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FC5E0-36FF-4CA5-9D07-EEF1D092F171}">
  <sheetPr>
    <tabColor rgb="FFFFC000"/>
  </sheetPr>
  <dimension ref="A1:B320"/>
  <sheetViews>
    <sheetView zoomScaleNormal="100" workbookViewId="0">
      <selection activeCell="B1" sqref="B1:B1048576"/>
    </sheetView>
  </sheetViews>
  <sheetFormatPr defaultRowHeight="14.25" x14ac:dyDescent="0.2"/>
  <cols>
    <col min="1" max="1" width="11" bestFit="1" customWidth="1"/>
    <col min="2" max="2" width="9" style="5"/>
  </cols>
  <sheetData>
    <row r="1" spans="1:2" ht="15" thickBot="1" x14ac:dyDescent="0.25">
      <c r="A1" s="10" t="str">
        <f>HYPERLINK(INDEX(获取工作表名,1)&amp;"!A"&amp;MATCH("无锡宝龙店",汇总!B:B,0),"无锡宝龙店")</f>
        <v>无锡宝龙店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929</v>
      </c>
    </row>
    <row r="4" spans="1:2" x14ac:dyDescent="0.2">
      <c r="A4" t="s">
        <v>3</v>
      </c>
      <c r="B4" s="5">
        <v>7818</v>
      </c>
    </row>
    <row r="5" spans="1:2" x14ac:dyDescent="0.2">
      <c r="A5" t="s">
        <v>4</v>
      </c>
      <c r="B5" s="5">
        <v>4.7</v>
      </c>
    </row>
    <row r="6" spans="1:2" x14ac:dyDescent="0.2">
      <c r="A6" t="s">
        <v>5</v>
      </c>
      <c r="B6" s="5" t="s">
        <v>930</v>
      </c>
    </row>
    <row r="7" spans="1:2" x14ac:dyDescent="0.2">
      <c r="A7" t="s">
        <v>7</v>
      </c>
      <c r="B7" s="5" t="s">
        <v>931</v>
      </c>
    </row>
    <row r="8" spans="1:2" x14ac:dyDescent="0.2">
      <c r="A8" t="s">
        <v>9</v>
      </c>
      <c r="B8" s="5" t="s">
        <v>932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933</v>
      </c>
    </row>
    <row r="12" spans="1:2" x14ac:dyDescent="0.2">
      <c r="A12" t="s">
        <v>3</v>
      </c>
      <c r="B12" s="5">
        <v>6252</v>
      </c>
    </row>
    <row r="13" spans="1:2" x14ac:dyDescent="0.2">
      <c r="A13" t="s">
        <v>4</v>
      </c>
      <c r="B13" s="5">
        <v>4.7</v>
      </c>
    </row>
    <row r="14" spans="1:2" x14ac:dyDescent="0.2">
      <c r="A14" t="s">
        <v>5</v>
      </c>
      <c r="B14" s="5" t="s">
        <v>934</v>
      </c>
    </row>
    <row r="15" spans="1:2" x14ac:dyDescent="0.2">
      <c r="A15" t="s">
        <v>7</v>
      </c>
      <c r="B15" s="5" t="s">
        <v>732</v>
      </c>
    </row>
    <row r="16" spans="1:2" x14ac:dyDescent="0.2">
      <c r="A16" t="s">
        <v>9</v>
      </c>
      <c r="B16" s="5" t="s">
        <v>935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936</v>
      </c>
    </row>
    <row r="20" spans="1:2" x14ac:dyDescent="0.2">
      <c r="A20" t="s">
        <v>3</v>
      </c>
      <c r="B20" s="5">
        <v>5015</v>
      </c>
    </row>
    <row r="21" spans="1:2" x14ac:dyDescent="0.2">
      <c r="A21" t="s">
        <v>4</v>
      </c>
      <c r="B21" s="5">
        <v>4.8</v>
      </c>
    </row>
    <row r="22" spans="1:2" x14ac:dyDescent="0.2">
      <c r="A22" t="s">
        <v>5</v>
      </c>
      <c r="B22" s="5" t="s">
        <v>937</v>
      </c>
    </row>
    <row r="23" spans="1:2" x14ac:dyDescent="0.2">
      <c r="A23" t="s">
        <v>7</v>
      </c>
      <c r="B23" s="5" t="s">
        <v>180</v>
      </c>
    </row>
    <row r="24" spans="1:2" x14ac:dyDescent="0.2">
      <c r="A24" t="s">
        <v>9</v>
      </c>
      <c r="B24" s="5" t="s">
        <v>938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939</v>
      </c>
    </row>
    <row r="28" spans="1:2" x14ac:dyDescent="0.2">
      <c r="A28" t="s">
        <v>3</v>
      </c>
      <c r="B28" s="5">
        <v>4713</v>
      </c>
    </row>
    <row r="29" spans="1:2" x14ac:dyDescent="0.2">
      <c r="A29" t="s">
        <v>4</v>
      </c>
      <c r="B29" s="5">
        <v>4</v>
      </c>
    </row>
    <row r="30" spans="1:2" x14ac:dyDescent="0.2">
      <c r="A30" t="s">
        <v>5</v>
      </c>
      <c r="B30" s="5" t="s">
        <v>16</v>
      </c>
    </row>
    <row r="31" spans="1:2" x14ac:dyDescent="0.2">
      <c r="A31" t="s">
        <v>7</v>
      </c>
      <c r="B31" s="5" t="s">
        <v>688</v>
      </c>
    </row>
    <row r="32" spans="1:2" x14ac:dyDescent="0.2">
      <c r="A32" t="s">
        <v>9</v>
      </c>
      <c r="B32" s="5" t="s">
        <v>940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941</v>
      </c>
    </row>
    <row r="36" spans="1:2" x14ac:dyDescent="0.2">
      <c r="A36" t="s">
        <v>3</v>
      </c>
      <c r="B36" s="5">
        <v>4660</v>
      </c>
    </row>
    <row r="37" spans="1:2" x14ac:dyDescent="0.2">
      <c r="A37" t="s">
        <v>4</v>
      </c>
      <c r="B37" s="5">
        <v>4.5999999999999996</v>
      </c>
    </row>
    <row r="38" spans="1:2" x14ac:dyDescent="0.2">
      <c r="A38" t="s">
        <v>5</v>
      </c>
      <c r="B38" s="5" t="s">
        <v>942</v>
      </c>
    </row>
    <row r="39" spans="1:2" x14ac:dyDescent="0.2">
      <c r="A39" t="s">
        <v>7</v>
      </c>
      <c r="B39" s="5" t="s">
        <v>943</v>
      </c>
    </row>
    <row r="40" spans="1:2" x14ac:dyDescent="0.2">
      <c r="A40" t="s">
        <v>9</v>
      </c>
      <c r="B40" s="5" t="s">
        <v>944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945</v>
      </c>
    </row>
    <row r="44" spans="1:2" x14ac:dyDescent="0.2">
      <c r="A44" t="s">
        <v>3</v>
      </c>
      <c r="B44" s="5">
        <v>4188</v>
      </c>
    </row>
    <row r="45" spans="1:2" x14ac:dyDescent="0.2">
      <c r="A45" t="s">
        <v>4</v>
      </c>
      <c r="B45" s="5">
        <v>4.5</v>
      </c>
    </row>
    <row r="46" spans="1:2" x14ac:dyDescent="0.2">
      <c r="A46" t="s">
        <v>5</v>
      </c>
      <c r="B46" s="5" t="s">
        <v>946</v>
      </c>
    </row>
    <row r="47" spans="1:2" x14ac:dyDescent="0.2">
      <c r="A47" t="s">
        <v>7</v>
      </c>
      <c r="B47" s="5" t="s">
        <v>732</v>
      </c>
    </row>
    <row r="48" spans="1:2" x14ac:dyDescent="0.2">
      <c r="A48" t="s">
        <v>9</v>
      </c>
      <c r="B48" s="5" t="s">
        <v>947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948</v>
      </c>
    </row>
    <row r="52" spans="1:2" x14ac:dyDescent="0.2">
      <c r="A52" t="s">
        <v>3</v>
      </c>
      <c r="B52" s="5">
        <v>3823</v>
      </c>
    </row>
    <row r="53" spans="1:2" x14ac:dyDescent="0.2">
      <c r="A53" t="s">
        <v>4</v>
      </c>
      <c r="B53" s="5">
        <v>4.8</v>
      </c>
    </row>
    <row r="54" spans="1:2" x14ac:dyDescent="0.2">
      <c r="A54" t="s">
        <v>5</v>
      </c>
      <c r="B54" s="5" t="s">
        <v>949</v>
      </c>
    </row>
    <row r="55" spans="1:2" x14ac:dyDescent="0.2">
      <c r="A55" t="s">
        <v>7</v>
      </c>
      <c r="B55" s="5" t="s">
        <v>696</v>
      </c>
    </row>
    <row r="56" spans="1:2" x14ac:dyDescent="0.2">
      <c r="A56" t="s">
        <v>9</v>
      </c>
      <c r="B56" s="5" t="s">
        <v>950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951</v>
      </c>
    </row>
    <row r="60" spans="1:2" x14ac:dyDescent="0.2">
      <c r="A60" t="s">
        <v>3</v>
      </c>
      <c r="B60" s="5">
        <v>3818</v>
      </c>
    </row>
    <row r="61" spans="1:2" x14ac:dyDescent="0.2">
      <c r="A61" t="s">
        <v>4</v>
      </c>
      <c r="B61" s="5">
        <v>4.7</v>
      </c>
    </row>
    <row r="62" spans="1:2" x14ac:dyDescent="0.2">
      <c r="A62" t="s">
        <v>5</v>
      </c>
      <c r="B62" s="5" t="s">
        <v>952</v>
      </c>
    </row>
    <row r="63" spans="1:2" x14ac:dyDescent="0.2">
      <c r="A63" t="s">
        <v>7</v>
      </c>
      <c r="B63" s="5" t="s">
        <v>787</v>
      </c>
    </row>
    <row r="64" spans="1:2" x14ac:dyDescent="0.2">
      <c r="A64" t="s">
        <v>9</v>
      </c>
      <c r="B64" s="5" t="s">
        <v>953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954</v>
      </c>
    </row>
    <row r="68" spans="1:2" x14ac:dyDescent="0.2">
      <c r="A68" t="s">
        <v>3</v>
      </c>
      <c r="B68" s="5">
        <v>3418</v>
      </c>
    </row>
    <row r="69" spans="1:2" x14ac:dyDescent="0.2">
      <c r="A69" t="s">
        <v>4</v>
      </c>
      <c r="B69" s="5">
        <v>4.5</v>
      </c>
    </row>
    <row r="70" spans="1:2" x14ac:dyDescent="0.2">
      <c r="A70" t="s">
        <v>5</v>
      </c>
      <c r="B70" s="5" t="s">
        <v>955</v>
      </c>
    </row>
    <row r="71" spans="1:2" x14ac:dyDescent="0.2">
      <c r="A71" t="s">
        <v>7</v>
      </c>
      <c r="B71" s="5" t="s">
        <v>696</v>
      </c>
    </row>
    <row r="72" spans="1:2" s="3" customFormat="1" x14ac:dyDescent="0.2">
      <c r="A72" s="3" t="s">
        <v>9</v>
      </c>
      <c r="B72" s="11" t="s">
        <v>956</v>
      </c>
    </row>
    <row r="73" spans="1:2" s="3" customFormat="1" x14ac:dyDescent="0.2">
      <c r="B73" s="11"/>
    </row>
    <row r="74" spans="1:2" s="3" customFormat="1" x14ac:dyDescent="0.2">
      <c r="A74" s="3" t="s">
        <v>0</v>
      </c>
      <c r="B74" s="11">
        <v>10</v>
      </c>
    </row>
    <row r="75" spans="1:2" s="3" customFormat="1" x14ac:dyDescent="0.2">
      <c r="A75" s="3" t="s">
        <v>1</v>
      </c>
      <c r="B75" s="11" t="s">
        <v>957</v>
      </c>
    </row>
    <row r="76" spans="1:2" s="3" customFormat="1" x14ac:dyDescent="0.2">
      <c r="A76" s="3" t="s">
        <v>3</v>
      </c>
      <c r="B76" s="11">
        <v>3408</v>
      </c>
    </row>
    <row r="77" spans="1:2" s="3" customFormat="1" x14ac:dyDescent="0.2">
      <c r="A77" s="3" t="s">
        <v>4</v>
      </c>
      <c r="B77" s="11">
        <v>4.8</v>
      </c>
    </row>
    <row r="78" spans="1:2" s="3" customFormat="1" x14ac:dyDescent="0.2">
      <c r="A78" s="3" t="s">
        <v>5</v>
      </c>
      <c r="B78" s="11" t="s">
        <v>389</v>
      </c>
    </row>
    <row r="79" spans="1:2" x14ac:dyDescent="0.2">
      <c r="A79" t="s">
        <v>7</v>
      </c>
      <c r="B79" s="5" t="s">
        <v>56</v>
      </c>
    </row>
    <row r="80" spans="1:2" x14ac:dyDescent="0.2">
      <c r="A80" t="s">
        <v>9</v>
      </c>
      <c r="B80" s="5" t="s">
        <v>958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959</v>
      </c>
    </row>
    <row r="84" spans="1:2" x14ac:dyDescent="0.2">
      <c r="A84" t="s">
        <v>3</v>
      </c>
      <c r="B84" s="5">
        <v>3281</v>
      </c>
    </row>
    <row r="85" spans="1:2" x14ac:dyDescent="0.2">
      <c r="A85" t="s">
        <v>4</v>
      </c>
      <c r="B85" s="5">
        <v>4.5</v>
      </c>
    </row>
    <row r="86" spans="1:2" x14ac:dyDescent="0.2">
      <c r="A86" t="s">
        <v>5</v>
      </c>
      <c r="B86" s="5" t="s">
        <v>59</v>
      </c>
    </row>
    <row r="87" spans="1:2" x14ac:dyDescent="0.2">
      <c r="A87" t="s">
        <v>7</v>
      </c>
      <c r="B87" s="5" t="s">
        <v>931</v>
      </c>
    </row>
    <row r="88" spans="1:2" x14ac:dyDescent="0.2">
      <c r="A88" t="s">
        <v>9</v>
      </c>
      <c r="B88" s="5" t="s">
        <v>960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961</v>
      </c>
    </row>
    <row r="92" spans="1:2" x14ac:dyDescent="0.2">
      <c r="A92" t="s">
        <v>3</v>
      </c>
      <c r="B92" s="5">
        <v>3201</v>
      </c>
    </row>
    <row r="93" spans="1:2" x14ac:dyDescent="0.2">
      <c r="A93" t="s">
        <v>4</v>
      </c>
      <c r="B93" s="5">
        <v>4.5999999999999996</v>
      </c>
    </row>
    <row r="94" spans="1:2" x14ac:dyDescent="0.2">
      <c r="A94" t="s">
        <v>5</v>
      </c>
      <c r="B94" s="5" t="s">
        <v>962</v>
      </c>
    </row>
    <row r="95" spans="1:2" x14ac:dyDescent="0.2">
      <c r="A95" t="s">
        <v>7</v>
      </c>
      <c r="B95" s="5" t="s">
        <v>56</v>
      </c>
    </row>
    <row r="96" spans="1:2" x14ac:dyDescent="0.2">
      <c r="A96" t="s">
        <v>9</v>
      </c>
      <c r="B96" s="5" t="s">
        <v>963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964</v>
      </c>
    </row>
    <row r="100" spans="1:2" x14ac:dyDescent="0.2">
      <c r="A100" t="s">
        <v>3</v>
      </c>
      <c r="B100" s="5">
        <v>3089</v>
      </c>
    </row>
    <row r="101" spans="1:2" x14ac:dyDescent="0.2">
      <c r="A101" t="s">
        <v>4</v>
      </c>
      <c r="B101" s="5">
        <v>4.7</v>
      </c>
    </row>
    <row r="102" spans="1:2" x14ac:dyDescent="0.2">
      <c r="A102" t="s">
        <v>5</v>
      </c>
      <c r="B102" s="5" t="s">
        <v>620</v>
      </c>
    </row>
    <row r="103" spans="1:2" x14ac:dyDescent="0.2">
      <c r="A103" t="s">
        <v>7</v>
      </c>
      <c r="B103" s="5" t="s">
        <v>965</v>
      </c>
    </row>
    <row r="104" spans="1:2" x14ac:dyDescent="0.2">
      <c r="A104" t="s">
        <v>9</v>
      </c>
      <c r="B104" s="5" t="s">
        <v>966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967</v>
      </c>
    </row>
    <row r="108" spans="1:2" x14ac:dyDescent="0.2">
      <c r="A108" t="s">
        <v>3</v>
      </c>
      <c r="B108" s="5">
        <v>3046</v>
      </c>
    </row>
    <row r="109" spans="1:2" x14ac:dyDescent="0.2">
      <c r="A109" t="s">
        <v>4</v>
      </c>
      <c r="B109" s="5">
        <v>4.5999999999999996</v>
      </c>
    </row>
    <row r="110" spans="1:2" x14ac:dyDescent="0.2">
      <c r="A110" t="s">
        <v>5</v>
      </c>
      <c r="B110" s="5" t="s">
        <v>968</v>
      </c>
    </row>
    <row r="111" spans="1:2" x14ac:dyDescent="0.2">
      <c r="A111" t="s">
        <v>7</v>
      </c>
      <c r="B111" s="5" t="s">
        <v>700</v>
      </c>
    </row>
    <row r="112" spans="1:2" x14ac:dyDescent="0.2">
      <c r="A112" t="s">
        <v>9</v>
      </c>
      <c r="B112" s="5" t="s">
        <v>969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970</v>
      </c>
    </row>
    <row r="116" spans="1:2" x14ac:dyDescent="0.2">
      <c r="A116" t="s">
        <v>3</v>
      </c>
      <c r="B116" s="5">
        <v>2913</v>
      </c>
    </row>
    <row r="117" spans="1:2" x14ac:dyDescent="0.2">
      <c r="A117" t="s">
        <v>4</v>
      </c>
      <c r="B117" s="5">
        <v>4.9000000000000004</v>
      </c>
    </row>
    <row r="118" spans="1:2" x14ac:dyDescent="0.2">
      <c r="A118" t="s">
        <v>5</v>
      </c>
      <c r="B118" s="5" t="s">
        <v>971</v>
      </c>
    </row>
    <row r="119" spans="1:2" x14ac:dyDescent="0.2">
      <c r="A119" t="s">
        <v>7</v>
      </c>
      <c r="B119" s="5" t="s">
        <v>688</v>
      </c>
    </row>
    <row r="120" spans="1:2" x14ac:dyDescent="0.2">
      <c r="A120" t="s">
        <v>9</v>
      </c>
      <c r="B120" s="5" t="s">
        <v>972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973</v>
      </c>
    </row>
    <row r="124" spans="1:2" x14ac:dyDescent="0.2">
      <c r="A124" t="s">
        <v>3</v>
      </c>
      <c r="B124" s="5">
        <v>2896</v>
      </c>
    </row>
    <row r="125" spans="1:2" x14ac:dyDescent="0.2">
      <c r="A125" t="s">
        <v>4</v>
      </c>
      <c r="B125" s="5">
        <v>4.7</v>
      </c>
    </row>
    <row r="126" spans="1:2" x14ac:dyDescent="0.2">
      <c r="A126" t="s">
        <v>5</v>
      </c>
      <c r="B126" s="5" t="s">
        <v>974</v>
      </c>
    </row>
    <row r="127" spans="1:2" x14ac:dyDescent="0.2">
      <c r="A127" t="s">
        <v>7</v>
      </c>
      <c r="B127" s="5" t="s">
        <v>931</v>
      </c>
    </row>
    <row r="128" spans="1:2" x14ac:dyDescent="0.2">
      <c r="A128" t="s">
        <v>9</v>
      </c>
      <c r="B128" s="5" t="s">
        <v>975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976</v>
      </c>
    </row>
    <row r="132" spans="1:2" x14ac:dyDescent="0.2">
      <c r="A132" t="s">
        <v>3</v>
      </c>
      <c r="B132" s="5">
        <v>2874</v>
      </c>
    </row>
    <row r="133" spans="1:2" x14ac:dyDescent="0.2">
      <c r="A133" t="s">
        <v>4</v>
      </c>
      <c r="B133" s="5">
        <v>4.7</v>
      </c>
    </row>
    <row r="134" spans="1:2" x14ac:dyDescent="0.2">
      <c r="A134" t="s">
        <v>5</v>
      </c>
      <c r="B134" s="5" t="s">
        <v>977</v>
      </c>
    </row>
    <row r="135" spans="1:2" x14ac:dyDescent="0.2">
      <c r="A135" t="s">
        <v>7</v>
      </c>
      <c r="B135" s="5" t="s">
        <v>943</v>
      </c>
    </row>
    <row r="136" spans="1:2" x14ac:dyDescent="0.2">
      <c r="A136" t="s">
        <v>9</v>
      </c>
      <c r="B136" s="5" t="s">
        <v>978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979</v>
      </c>
    </row>
    <row r="140" spans="1:2" x14ac:dyDescent="0.2">
      <c r="A140" t="s">
        <v>3</v>
      </c>
      <c r="B140" s="5">
        <v>2855</v>
      </c>
    </row>
    <row r="141" spans="1:2" x14ac:dyDescent="0.2">
      <c r="A141" t="s">
        <v>4</v>
      </c>
      <c r="B141" s="5">
        <v>4.7</v>
      </c>
    </row>
    <row r="142" spans="1:2" x14ac:dyDescent="0.2">
      <c r="A142" t="s">
        <v>5</v>
      </c>
      <c r="B142" s="5" t="s">
        <v>980</v>
      </c>
    </row>
    <row r="143" spans="1:2" x14ac:dyDescent="0.2">
      <c r="A143" t="s">
        <v>7</v>
      </c>
      <c r="B143" s="5" t="s">
        <v>981</v>
      </c>
    </row>
    <row r="144" spans="1:2" x14ac:dyDescent="0.2">
      <c r="A144" t="s">
        <v>9</v>
      </c>
      <c r="B144" s="5" t="s">
        <v>982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983</v>
      </c>
    </row>
    <row r="148" spans="1:2" x14ac:dyDescent="0.2">
      <c r="A148" t="s">
        <v>3</v>
      </c>
      <c r="B148" s="5">
        <v>2825</v>
      </c>
    </row>
    <row r="149" spans="1:2" x14ac:dyDescent="0.2">
      <c r="A149" t="s">
        <v>4</v>
      </c>
      <c r="B149" s="5">
        <v>4.4000000000000004</v>
      </c>
    </row>
    <row r="150" spans="1:2" x14ac:dyDescent="0.2">
      <c r="A150" t="s">
        <v>5</v>
      </c>
      <c r="B150" s="5" t="s">
        <v>984</v>
      </c>
    </row>
    <row r="151" spans="1:2" x14ac:dyDescent="0.2">
      <c r="A151" t="s">
        <v>7</v>
      </c>
      <c r="B151" s="5" t="s">
        <v>943</v>
      </c>
    </row>
    <row r="152" spans="1:2" x14ac:dyDescent="0.2">
      <c r="A152" t="s">
        <v>9</v>
      </c>
      <c r="B152" s="5" t="s">
        <v>985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986</v>
      </c>
    </row>
    <row r="156" spans="1:2" x14ac:dyDescent="0.2">
      <c r="A156" t="s">
        <v>3</v>
      </c>
      <c r="B156" s="5">
        <v>2815</v>
      </c>
    </row>
    <row r="157" spans="1:2" x14ac:dyDescent="0.2">
      <c r="A157" t="s">
        <v>4</v>
      </c>
      <c r="B157" s="5">
        <v>4.8</v>
      </c>
    </row>
    <row r="158" spans="1:2" x14ac:dyDescent="0.2">
      <c r="A158" t="s">
        <v>5</v>
      </c>
      <c r="B158" s="5" t="s">
        <v>311</v>
      </c>
    </row>
    <row r="159" spans="1:2" x14ac:dyDescent="0.2">
      <c r="A159" t="s">
        <v>7</v>
      </c>
      <c r="B159" s="5" t="s">
        <v>746</v>
      </c>
    </row>
    <row r="160" spans="1:2" x14ac:dyDescent="0.2">
      <c r="A160" t="s">
        <v>9</v>
      </c>
      <c r="B160" s="5" t="s">
        <v>321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987</v>
      </c>
    </row>
    <row r="164" spans="1:2" x14ac:dyDescent="0.2">
      <c r="A164" t="s">
        <v>3</v>
      </c>
      <c r="B164" s="5">
        <v>2772</v>
      </c>
    </row>
    <row r="165" spans="1:2" x14ac:dyDescent="0.2">
      <c r="A165" t="s">
        <v>4</v>
      </c>
      <c r="B165" s="5">
        <v>4.5999999999999996</v>
      </c>
    </row>
    <row r="166" spans="1:2" x14ac:dyDescent="0.2">
      <c r="A166" t="s">
        <v>5</v>
      </c>
      <c r="B166" s="5" t="s">
        <v>988</v>
      </c>
    </row>
    <row r="167" spans="1:2" x14ac:dyDescent="0.2">
      <c r="A167" t="s">
        <v>7</v>
      </c>
      <c r="B167" s="5" t="s">
        <v>931</v>
      </c>
    </row>
    <row r="168" spans="1:2" x14ac:dyDescent="0.2">
      <c r="A168" t="s">
        <v>9</v>
      </c>
      <c r="B168" s="5" t="s">
        <v>989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990</v>
      </c>
    </row>
    <row r="172" spans="1:2" x14ac:dyDescent="0.2">
      <c r="A172" t="s">
        <v>3</v>
      </c>
      <c r="B172" s="5">
        <v>2703</v>
      </c>
    </row>
    <row r="173" spans="1:2" x14ac:dyDescent="0.2">
      <c r="A173" t="s">
        <v>4</v>
      </c>
      <c r="B173" s="5">
        <v>4.8</v>
      </c>
    </row>
    <row r="174" spans="1:2" x14ac:dyDescent="0.2">
      <c r="A174" t="s">
        <v>5</v>
      </c>
      <c r="B174" s="5" t="s">
        <v>748</v>
      </c>
    </row>
    <row r="175" spans="1:2" x14ac:dyDescent="0.2">
      <c r="A175" t="s">
        <v>7</v>
      </c>
      <c r="B175" s="5" t="s">
        <v>696</v>
      </c>
    </row>
    <row r="176" spans="1:2" x14ac:dyDescent="0.2">
      <c r="A176" t="s">
        <v>9</v>
      </c>
      <c r="B176" s="5" t="s">
        <v>991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992</v>
      </c>
    </row>
    <row r="180" spans="1:2" x14ac:dyDescent="0.2">
      <c r="A180" t="s">
        <v>3</v>
      </c>
      <c r="B180" s="5">
        <v>2683</v>
      </c>
    </row>
    <row r="181" spans="1:2" x14ac:dyDescent="0.2">
      <c r="A181" t="s">
        <v>4</v>
      </c>
      <c r="B181" s="5">
        <v>4.8</v>
      </c>
    </row>
    <row r="182" spans="1:2" x14ac:dyDescent="0.2">
      <c r="A182" t="s">
        <v>5</v>
      </c>
      <c r="B182" s="5" t="s">
        <v>993</v>
      </c>
    </row>
    <row r="183" spans="1:2" x14ac:dyDescent="0.2">
      <c r="A183" t="s">
        <v>7</v>
      </c>
      <c r="B183" s="5" t="s">
        <v>143</v>
      </c>
    </row>
    <row r="184" spans="1:2" x14ac:dyDescent="0.2">
      <c r="A184" t="s">
        <v>9</v>
      </c>
      <c r="B184" s="5" t="s">
        <v>994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995</v>
      </c>
    </row>
    <row r="188" spans="1:2" x14ac:dyDescent="0.2">
      <c r="A188" t="s">
        <v>3</v>
      </c>
      <c r="B188" s="5">
        <v>2679</v>
      </c>
    </row>
    <row r="189" spans="1:2" x14ac:dyDescent="0.2">
      <c r="A189" t="s">
        <v>4</v>
      </c>
      <c r="B189" s="5">
        <v>4.7</v>
      </c>
    </row>
    <row r="190" spans="1:2" x14ac:dyDescent="0.2">
      <c r="A190" t="s">
        <v>5</v>
      </c>
      <c r="B190" s="5" t="s">
        <v>996</v>
      </c>
    </row>
    <row r="191" spans="1:2" x14ac:dyDescent="0.2">
      <c r="A191" t="s">
        <v>7</v>
      </c>
      <c r="B191" s="5" t="s">
        <v>997</v>
      </c>
    </row>
    <row r="192" spans="1:2" x14ac:dyDescent="0.2">
      <c r="A192" t="s">
        <v>9</v>
      </c>
      <c r="B192" s="5" t="s">
        <v>998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999</v>
      </c>
    </row>
    <row r="196" spans="1:2" x14ac:dyDescent="0.2">
      <c r="A196" t="s">
        <v>3</v>
      </c>
      <c r="B196" s="5">
        <v>2653</v>
      </c>
    </row>
    <row r="197" spans="1:2" x14ac:dyDescent="0.2">
      <c r="A197" t="s">
        <v>4</v>
      </c>
      <c r="B197" s="5">
        <v>4.5999999999999996</v>
      </c>
    </row>
    <row r="198" spans="1:2" x14ac:dyDescent="0.2">
      <c r="A198" t="s">
        <v>5</v>
      </c>
      <c r="B198" s="5" t="s">
        <v>1000</v>
      </c>
    </row>
    <row r="199" spans="1:2" x14ac:dyDescent="0.2">
      <c r="A199" t="s">
        <v>7</v>
      </c>
      <c r="B199" s="5" t="s">
        <v>688</v>
      </c>
    </row>
    <row r="200" spans="1:2" x14ac:dyDescent="0.2">
      <c r="A200" t="s">
        <v>9</v>
      </c>
      <c r="B200" s="5" t="s">
        <v>1001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1002</v>
      </c>
    </row>
    <row r="204" spans="1:2" x14ac:dyDescent="0.2">
      <c r="A204" t="s">
        <v>3</v>
      </c>
      <c r="B204" s="5">
        <v>2568</v>
      </c>
    </row>
    <row r="205" spans="1:2" x14ac:dyDescent="0.2">
      <c r="A205" t="s">
        <v>4</v>
      </c>
      <c r="B205" s="5">
        <v>4.7</v>
      </c>
    </row>
    <row r="206" spans="1:2" x14ac:dyDescent="0.2">
      <c r="A206" t="s">
        <v>5</v>
      </c>
      <c r="B206" s="5" t="s">
        <v>28</v>
      </c>
    </row>
    <row r="207" spans="1:2" x14ac:dyDescent="0.2">
      <c r="A207" t="s">
        <v>7</v>
      </c>
      <c r="B207" s="5" t="s">
        <v>798</v>
      </c>
    </row>
    <row r="208" spans="1:2" x14ac:dyDescent="0.2">
      <c r="A208" t="s">
        <v>9</v>
      </c>
      <c r="B208" s="5" t="s">
        <v>1003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1004</v>
      </c>
    </row>
    <row r="212" spans="1:2" x14ac:dyDescent="0.2">
      <c r="A212" t="s">
        <v>3</v>
      </c>
      <c r="B212" s="5">
        <v>2518</v>
      </c>
    </row>
    <row r="213" spans="1:2" x14ac:dyDescent="0.2">
      <c r="A213" t="s">
        <v>4</v>
      </c>
      <c r="B213" s="5">
        <v>4.7</v>
      </c>
    </row>
    <row r="214" spans="1:2" x14ac:dyDescent="0.2">
      <c r="A214" t="s">
        <v>5</v>
      </c>
      <c r="B214" s="5" t="s">
        <v>1005</v>
      </c>
    </row>
    <row r="215" spans="1:2" x14ac:dyDescent="0.2">
      <c r="A215" t="s">
        <v>7</v>
      </c>
      <c r="B215" s="5" t="s">
        <v>770</v>
      </c>
    </row>
    <row r="216" spans="1:2" x14ac:dyDescent="0.2">
      <c r="A216" t="s">
        <v>9</v>
      </c>
      <c r="B216" s="5" t="s">
        <v>1006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1007</v>
      </c>
    </row>
    <row r="220" spans="1:2" x14ac:dyDescent="0.2">
      <c r="A220" t="s">
        <v>3</v>
      </c>
      <c r="B220" s="5">
        <v>2466</v>
      </c>
    </row>
    <row r="221" spans="1:2" x14ac:dyDescent="0.2">
      <c r="A221" t="s">
        <v>4</v>
      </c>
      <c r="B221" s="5">
        <v>4.8</v>
      </c>
    </row>
    <row r="222" spans="1:2" x14ac:dyDescent="0.2">
      <c r="A222" t="s">
        <v>5</v>
      </c>
      <c r="B222" s="5" t="s">
        <v>1008</v>
      </c>
    </row>
    <row r="223" spans="1:2" x14ac:dyDescent="0.2">
      <c r="A223" t="s">
        <v>7</v>
      </c>
      <c r="B223" s="5" t="s">
        <v>180</v>
      </c>
    </row>
    <row r="224" spans="1:2" x14ac:dyDescent="0.2">
      <c r="A224" t="s">
        <v>9</v>
      </c>
      <c r="B224" s="5" t="s">
        <v>1009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1010</v>
      </c>
    </row>
    <row r="228" spans="1:2" x14ac:dyDescent="0.2">
      <c r="A228" t="s">
        <v>3</v>
      </c>
      <c r="B228" s="5">
        <v>2432</v>
      </c>
    </row>
    <row r="229" spans="1:2" x14ac:dyDescent="0.2">
      <c r="A229" t="s">
        <v>4</v>
      </c>
      <c r="B229" s="5">
        <v>4.5999999999999996</v>
      </c>
    </row>
    <row r="230" spans="1:2" x14ac:dyDescent="0.2">
      <c r="A230" t="s">
        <v>5</v>
      </c>
      <c r="B230" s="5" t="s">
        <v>1011</v>
      </c>
    </row>
    <row r="231" spans="1:2" x14ac:dyDescent="0.2">
      <c r="A231" t="s">
        <v>7</v>
      </c>
      <c r="B231" s="5" t="s">
        <v>931</v>
      </c>
    </row>
    <row r="232" spans="1:2" x14ac:dyDescent="0.2">
      <c r="A232" t="s">
        <v>9</v>
      </c>
      <c r="B232" s="5" t="s">
        <v>1012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1013</v>
      </c>
    </row>
    <row r="236" spans="1:2" x14ac:dyDescent="0.2">
      <c r="A236" t="s">
        <v>3</v>
      </c>
      <c r="B236" s="5">
        <v>2376</v>
      </c>
    </row>
    <row r="237" spans="1:2" x14ac:dyDescent="0.2">
      <c r="A237" t="s">
        <v>4</v>
      </c>
      <c r="B237" s="5">
        <v>4.7</v>
      </c>
    </row>
    <row r="238" spans="1:2" x14ac:dyDescent="0.2">
      <c r="A238" t="s">
        <v>5</v>
      </c>
      <c r="B238" s="5" t="s">
        <v>1014</v>
      </c>
    </row>
    <row r="239" spans="1:2" x14ac:dyDescent="0.2">
      <c r="A239" t="s">
        <v>7</v>
      </c>
      <c r="B239" s="5" t="s">
        <v>732</v>
      </c>
    </row>
    <row r="240" spans="1:2" x14ac:dyDescent="0.2">
      <c r="A240" t="s">
        <v>9</v>
      </c>
      <c r="B240" s="5" t="s">
        <v>1015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1016</v>
      </c>
    </row>
    <row r="244" spans="1:2" x14ac:dyDescent="0.2">
      <c r="A244" t="s">
        <v>3</v>
      </c>
      <c r="B244" s="5">
        <v>2353</v>
      </c>
    </row>
    <row r="245" spans="1:2" x14ac:dyDescent="0.2">
      <c r="A245" t="s">
        <v>4</v>
      </c>
      <c r="B245" s="5">
        <v>4.7</v>
      </c>
    </row>
    <row r="246" spans="1:2" x14ac:dyDescent="0.2">
      <c r="A246" t="s">
        <v>5</v>
      </c>
      <c r="B246" s="5" t="s">
        <v>657</v>
      </c>
    </row>
    <row r="247" spans="1:2" x14ac:dyDescent="0.2">
      <c r="A247" t="s">
        <v>7</v>
      </c>
      <c r="B247" s="5" t="s">
        <v>770</v>
      </c>
    </row>
    <row r="248" spans="1:2" x14ac:dyDescent="0.2">
      <c r="A248" t="s">
        <v>9</v>
      </c>
      <c r="B248" s="5" t="s">
        <v>1017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1018</v>
      </c>
    </row>
    <row r="252" spans="1:2" x14ac:dyDescent="0.2">
      <c r="A252" t="s">
        <v>3</v>
      </c>
      <c r="B252" s="5">
        <v>2324</v>
      </c>
    </row>
    <row r="253" spans="1:2" x14ac:dyDescent="0.2">
      <c r="A253" t="s">
        <v>4</v>
      </c>
      <c r="B253" s="5">
        <v>4.5999999999999996</v>
      </c>
    </row>
    <row r="254" spans="1:2" x14ac:dyDescent="0.2">
      <c r="A254" t="s">
        <v>5</v>
      </c>
      <c r="B254" s="5" t="s">
        <v>1019</v>
      </c>
    </row>
    <row r="255" spans="1:2" x14ac:dyDescent="0.2">
      <c r="A255" t="s">
        <v>7</v>
      </c>
      <c r="B255" s="5" t="s">
        <v>997</v>
      </c>
    </row>
    <row r="256" spans="1:2" x14ac:dyDescent="0.2">
      <c r="A256" t="s">
        <v>9</v>
      </c>
      <c r="B256" s="5" t="s">
        <v>1020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1021</v>
      </c>
    </row>
    <row r="260" spans="1:2" x14ac:dyDescent="0.2">
      <c r="A260" t="s">
        <v>3</v>
      </c>
      <c r="B260" s="5">
        <v>2269</v>
      </c>
    </row>
    <row r="261" spans="1:2" x14ac:dyDescent="0.2">
      <c r="A261" t="s">
        <v>4</v>
      </c>
      <c r="B261" s="5">
        <v>4.5999999999999996</v>
      </c>
    </row>
    <row r="262" spans="1:2" x14ac:dyDescent="0.2">
      <c r="A262" t="s">
        <v>5</v>
      </c>
      <c r="B262" s="5" t="s">
        <v>1005</v>
      </c>
    </row>
    <row r="263" spans="1:2" x14ac:dyDescent="0.2">
      <c r="A263" t="s">
        <v>7</v>
      </c>
      <c r="B263" s="5" t="s">
        <v>798</v>
      </c>
    </row>
    <row r="264" spans="1:2" x14ac:dyDescent="0.2">
      <c r="A264" t="s">
        <v>9</v>
      </c>
      <c r="B264" s="5" t="s">
        <v>1022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1023</v>
      </c>
    </row>
    <row r="268" spans="1:2" x14ac:dyDescent="0.2">
      <c r="A268" t="s">
        <v>3</v>
      </c>
      <c r="B268" s="5">
        <v>2249</v>
      </c>
    </row>
    <row r="269" spans="1:2" x14ac:dyDescent="0.2">
      <c r="A269" t="s">
        <v>4</v>
      </c>
      <c r="B269" s="5">
        <v>4.8</v>
      </c>
    </row>
    <row r="270" spans="1:2" x14ac:dyDescent="0.2">
      <c r="A270" t="s">
        <v>5</v>
      </c>
      <c r="B270" s="5" t="s">
        <v>1024</v>
      </c>
    </row>
    <row r="271" spans="1:2" x14ac:dyDescent="0.2">
      <c r="A271" t="s">
        <v>7</v>
      </c>
      <c r="B271" s="5" t="s">
        <v>700</v>
      </c>
    </row>
    <row r="272" spans="1:2" x14ac:dyDescent="0.2">
      <c r="A272" t="s">
        <v>9</v>
      </c>
      <c r="B272" s="5" t="s">
        <v>1025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1026</v>
      </c>
    </row>
    <row r="276" spans="1:2" x14ac:dyDescent="0.2">
      <c r="A276" t="s">
        <v>3</v>
      </c>
      <c r="B276" s="5">
        <v>2242</v>
      </c>
    </row>
    <row r="277" spans="1:2" x14ac:dyDescent="0.2">
      <c r="A277" t="s">
        <v>4</v>
      </c>
      <c r="B277" s="5">
        <v>4.7</v>
      </c>
    </row>
    <row r="278" spans="1:2" x14ac:dyDescent="0.2">
      <c r="A278" t="s">
        <v>5</v>
      </c>
      <c r="B278" s="5" t="s">
        <v>1027</v>
      </c>
    </row>
    <row r="279" spans="1:2" x14ac:dyDescent="0.2">
      <c r="A279" t="s">
        <v>7</v>
      </c>
      <c r="B279" s="5" t="s">
        <v>1028</v>
      </c>
    </row>
    <row r="280" spans="1:2" x14ac:dyDescent="0.2">
      <c r="A280" t="s">
        <v>9</v>
      </c>
      <c r="B280" s="5" t="s">
        <v>1029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1030</v>
      </c>
    </row>
    <row r="284" spans="1:2" x14ac:dyDescent="0.2">
      <c r="A284" t="s">
        <v>3</v>
      </c>
      <c r="B284" s="5">
        <v>2238</v>
      </c>
    </row>
    <row r="285" spans="1:2" x14ac:dyDescent="0.2">
      <c r="A285" t="s">
        <v>4</v>
      </c>
      <c r="B285" s="5">
        <v>4.8</v>
      </c>
    </row>
    <row r="286" spans="1:2" x14ac:dyDescent="0.2">
      <c r="A286" t="s">
        <v>5</v>
      </c>
      <c r="B286" s="5" t="s">
        <v>51</v>
      </c>
    </row>
    <row r="287" spans="1:2" x14ac:dyDescent="0.2">
      <c r="A287" t="s">
        <v>7</v>
      </c>
      <c r="B287" s="5" t="s">
        <v>700</v>
      </c>
    </row>
    <row r="288" spans="1:2" x14ac:dyDescent="0.2">
      <c r="A288" t="s">
        <v>9</v>
      </c>
      <c r="B288" s="5" t="s">
        <v>1031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1032</v>
      </c>
    </row>
    <row r="292" spans="1:2" x14ac:dyDescent="0.2">
      <c r="A292" t="s">
        <v>3</v>
      </c>
      <c r="B292" s="5">
        <v>2225</v>
      </c>
    </row>
    <row r="293" spans="1:2" x14ac:dyDescent="0.2">
      <c r="A293" t="s">
        <v>4</v>
      </c>
      <c r="B293" s="5">
        <v>4.5999999999999996</v>
      </c>
    </row>
    <row r="294" spans="1:2" x14ac:dyDescent="0.2">
      <c r="A294" t="s">
        <v>5</v>
      </c>
      <c r="B294" s="5" t="s">
        <v>1033</v>
      </c>
    </row>
    <row r="295" spans="1:2" x14ac:dyDescent="0.2">
      <c r="A295" t="s">
        <v>7</v>
      </c>
      <c r="B295" s="5" t="s">
        <v>1028</v>
      </c>
    </row>
    <row r="296" spans="1:2" x14ac:dyDescent="0.2">
      <c r="A296" t="s">
        <v>9</v>
      </c>
      <c r="B296" s="5" t="s">
        <v>1034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1035</v>
      </c>
    </row>
    <row r="300" spans="1:2" x14ac:dyDescent="0.2">
      <c r="A300" t="s">
        <v>3</v>
      </c>
      <c r="B300" s="5">
        <v>2207</v>
      </c>
    </row>
    <row r="301" spans="1:2" x14ac:dyDescent="0.2">
      <c r="A301" t="s">
        <v>4</v>
      </c>
      <c r="B301" s="5">
        <v>4.5999999999999996</v>
      </c>
    </row>
    <row r="302" spans="1:2" x14ac:dyDescent="0.2">
      <c r="A302" t="s">
        <v>5</v>
      </c>
      <c r="B302" s="5" t="s">
        <v>1036</v>
      </c>
    </row>
    <row r="303" spans="1:2" x14ac:dyDescent="0.2">
      <c r="A303" t="s">
        <v>7</v>
      </c>
      <c r="B303" s="5" t="s">
        <v>143</v>
      </c>
    </row>
    <row r="304" spans="1:2" x14ac:dyDescent="0.2">
      <c r="A304" t="s">
        <v>9</v>
      </c>
      <c r="B304" s="5" t="s">
        <v>1037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1038</v>
      </c>
    </row>
    <row r="308" spans="1:2" x14ac:dyDescent="0.2">
      <c r="A308" t="s">
        <v>3</v>
      </c>
      <c r="B308" s="5">
        <v>2204</v>
      </c>
    </row>
    <row r="309" spans="1:2" x14ac:dyDescent="0.2">
      <c r="A309" t="s">
        <v>4</v>
      </c>
      <c r="B309" s="5">
        <v>4.8</v>
      </c>
    </row>
    <row r="310" spans="1:2" x14ac:dyDescent="0.2">
      <c r="A310" t="s">
        <v>5</v>
      </c>
      <c r="B310" s="5" t="s">
        <v>1039</v>
      </c>
    </row>
    <row r="311" spans="1:2" x14ac:dyDescent="0.2">
      <c r="A311" t="s">
        <v>7</v>
      </c>
      <c r="B311" s="5" t="s">
        <v>696</v>
      </c>
    </row>
    <row r="312" spans="1:2" x14ac:dyDescent="0.2">
      <c r="A312" t="s">
        <v>9</v>
      </c>
      <c r="B312" s="5" t="s">
        <v>1040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1041</v>
      </c>
    </row>
    <row r="316" spans="1:2" x14ac:dyDescent="0.2">
      <c r="A316" t="s">
        <v>3</v>
      </c>
      <c r="B316" s="5">
        <v>2190</v>
      </c>
    </row>
    <row r="317" spans="1:2" x14ac:dyDescent="0.2">
      <c r="A317" t="s">
        <v>4</v>
      </c>
      <c r="B317" s="5">
        <v>4.7</v>
      </c>
    </row>
    <row r="318" spans="1:2" x14ac:dyDescent="0.2">
      <c r="A318" t="s">
        <v>5</v>
      </c>
      <c r="B318" s="5" t="s">
        <v>1042</v>
      </c>
    </row>
    <row r="319" spans="1:2" x14ac:dyDescent="0.2">
      <c r="A319" t="s">
        <v>7</v>
      </c>
      <c r="B319" s="5" t="s">
        <v>696</v>
      </c>
    </row>
    <row r="320" spans="1:2" x14ac:dyDescent="0.2">
      <c r="A320" t="s">
        <v>9</v>
      </c>
      <c r="B320" s="5" t="s">
        <v>1043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1EC93-E950-4863-81B1-B44656435335}">
  <sheetPr codeName="Sheet13">
    <tabColor rgb="FFFFC000"/>
  </sheetPr>
  <dimension ref="A1:B319"/>
  <sheetViews>
    <sheetView zoomScaleNormal="100" workbookViewId="0">
      <selection activeCell="K26" sqref="K26"/>
    </sheetView>
  </sheetViews>
  <sheetFormatPr defaultRowHeight="14.25" x14ac:dyDescent="0.2"/>
  <cols>
    <col min="1" max="1" width="11" bestFit="1" customWidth="1"/>
    <col min="2" max="2" width="9" style="5"/>
  </cols>
  <sheetData>
    <row r="1" spans="1:2" ht="15" thickBot="1" x14ac:dyDescent="0.25">
      <c r="A1" s="10" t="str">
        <f>HYPERLINK(INDEX(获取工作表名,1)&amp;"!A"&amp;MATCH("福建连江店",汇总!B:B,0),"福建连江店")</f>
        <v>福建连江店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822</v>
      </c>
    </row>
    <row r="4" spans="1:2" x14ac:dyDescent="0.2">
      <c r="A4" t="s">
        <v>3</v>
      </c>
      <c r="B4" s="5">
        <v>2792</v>
      </c>
    </row>
    <row r="5" spans="1:2" x14ac:dyDescent="0.2">
      <c r="A5" t="s">
        <v>4</v>
      </c>
      <c r="B5" s="5">
        <v>4.5999999999999996</v>
      </c>
    </row>
    <row r="6" spans="1:2" x14ac:dyDescent="0.2">
      <c r="A6" t="s">
        <v>5</v>
      </c>
      <c r="B6" s="5" t="s">
        <v>823</v>
      </c>
    </row>
    <row r="7" spans="1:2" x14ac:dyDescent="0.2">
      <c r="A7" t="s">
        <v>7</v>
      </c>
      <c r="B7" s="5" t="s">
        <v>56</v>
      </c>
    </row>
    <row r="8" spans="1:2" x14ac:dyDescent="0.2">
      <c r="A8" t="s">
        <v>9</v>
      </c>
      <c r="B8" s="5" t="s">
        <v>824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825</v>
      </c>
    </row>
    <row r="12" spans="1:2" x14ac:dyDescent="0.2">
      <c r="A12" t="s">
        <v>3</v>
      </c>
      <c r="B12" s="5">
        <v>2381</v>
      </c>
    </row>
    <row r="13" spans="1:2" x14ac:dyDescent="0.2">
      <c r="A13" t="s">
        <v>4</v>
      </c>
      <c r="B13" s="5">
        <v>4.7</v>
      </c>
    </row>
    <row r="14" spans="1:2" x14ac:dyDescent="0.2">
      <c r="A14" t="s">
        <v>5</v>
      </c>
      <c r="B14" s="5" t="s">
        <v>826</v>
      </c>
    </row>
    <row r="15" spans="1:2" x14ac:dyDescent="0.2">
      <c r="A15" t="s">
        <v>7</v>
      </c>
      <c r="B15" s="5" t="s">
        <v>827</v>
      </c>
    </row>
    <row r="16" spans="1:2" x14ac:dyDescent="0.2">
      <c r="A16" t="s">
        <v>9</v>
      </c>
      <c r="B16" s="5" t="s">
        <v>828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829</v>
      </c>
    </row>
    <row r="20" spans="1:2" x14ac:dyDescent="0.2">
      <c r="A20" t="s">
        <v>3</v>
      </c>
      <c r="B20" s="5">
        <v>2365</v>
      </c>
    </row>
    <row r="21" spans="1:2" x14ac:dyDescent="0.2">
      <c r="A21" t="s">
        <v>4</v>
      </c>
      <c r="B21" s="5">
        <v>4.5999999999999996</v>
      </c>
    </row>
    <row r="22" spans="1:2" x14ac:dyDescent="0.2">
      <c r="A22" t="s">
        <v>5</v>
      </c>
      <c r="B22" s="5" t="s">
        <v>830</v>
      </c>
    </row>
    <row r="23" spans="1:2" x14ac:dyDescent="0.2">
      <c r="A23" t="s">
        <v>7</v>
      </c>
      <c r="B23" s="5" t="s">
        <v>56</v>
      </c>
    </row>
    <row r="24" spans="1:2" x14ac:dyDescent="0.2">
      <c r="A24" t="s">
        <v>9</v>
      </c>
      <c r="B24" s="5" t="s">
        <v>831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832</v>
      </c>
    </row>
    <row r="28" spans="1:2" x14ac:dyDescent="0.2">
      <c r="A28" t="s">
        <v>3</v>
      </c>
      <c r="B28" s="5">
        <v>2343</v>
      </c>
    </row>
    <row r="29" spans="1:2" x14ac:dyDescent="0.2">
      <c r="A29" t="s">
        <v>4</v>
      </c>
      <c r="B29" s="5">
        <v>4.5999999999999996</v>
      </c>
    </row>
    <row r="30" spans="1:2" x14ac:dyDescent="0.2">
      <c r="A30" t="s">
        <v>5</v>
      </c>
      <c r="B30" s="5" t="s">
        <v>833</v>
      </c>
    </row>
    <row r="31" spans="1:2" x14ac:dyDescent="0.2">
      <c r="A31" t="s">
        <v>7</v>
      </c>
      <c r="B31" s="5" t="s">
        <v>56</v>
      </c>
    </row>
    <row r="32" spans="1:2" x14ac:dyDescent="0.2">
      <c r="A32" t="s">
        <v>9</v>
      </c>
      <c r="B32" s="5" t="s">
        <v>834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835</v>
      </c>
    </row>
    <row r="36" spans="1:2" x14ac:dyDescent="0.2">
      <c r="A36" t="s">
        <v>3</v>
      </c>
      <c r="B36" s="5">
        <v>2288</v>
      </c>
    </row>
    <row r="37" spans="1:2" x14ac:dyDescent="0.2">
      <c r="A37" t="s">
        <v>4</v>
      </c>
      <c r="B37" s="5">
        <v>4.7</v>
      </c>
    </row>
    <row r="38" spans="1:2" x14ac:dyDescent="0.2">
      <c r="A38" t="s">
        <v>5</v>
      </c>
      <c r="B38" s="5" t="s">
        <v>481</v>
      </c>
    </row>
    <row r="39" spans="1:2" x14ac:dyDescent="0.2">
      <c r="A39" t="s">
        <v>7</v>
      </c>
      <c r="B39" s="5" t="s">
        <v>56</v>
      </c>
    </row>
    <row r="40" spans="1:2" x14ac:dyDescent="0.2">
      <c r="A40" t="s">
        <v>9</v>
      </c>
      <c r="B40" s="5" t="s">
        <v>836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837</v>
      </c>
    </row>
    <row r="44" spans="1:2" x14ac:dyDescent="0.2">
      <c r="A44" t="s">
        <v>3</v>
      </c>
      <c r="B44" s="5">
        <v>2220</v>
      </c>
    </row>
    <row r="45" spans="1:2" x14ac:dyDescent="0.2">
      <c r="A45" t="s">
        <v>4</v>
      </c>
      <c r="B45" s="5">
        <v>4.7</v>
      </c>
    </row>
    <row r="46" spans="1:2" x14ac:dyDescent="0.2">
      <c r="A46" t="s">
        <v>5</v>
      </c>
      <c r="B46" s="5" t="s">
        <v>567</v>
      </c>
    </row>
    <row r="47" spans="1:2" x14ac:dyDescent="0.2">
      <c r="A47" t="s">
        <v>7</v>
      </c>
      <c r="B47" s="5" t="s">
        <v>56</v>
      </c>
    </row>
    <row r="48" spans="1:2" x14ac:dyDescent="0.2">
      <c r="A48" t="s">
        <v>9</v>
      </c>
      <c r="B48" s="5" t="s">
        <v>838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839</v>
      </c>
    </row>
    <row r="52" spans="1:2" x14ac:dyDescent="0.2">
      <c r="A52" t="s">
        <v>3</v>
      </c>
      <c r="B52" s="5">
        <v>2007</v>
      </c>
    </row>
    <row r="53" spans="1:2" x14ac:dyDescent="0.2">
      <c r="A53" t="s">
        <v>4</v>
      </c>
      <c r="B53" s="5">
        <v>4.5999999999999996</v>
      </c>
    </row>
    <row r="54" spans="1:2" x14ac:dyDescent="0.2">
      <c r="A54" t="s">
        <v>5</v>
      </c>
      <c r="B54" s="5" t="s">
        <v>840</v>
      </c>
    </row>
    <row r="55" spans="1:2" x14ac:dyDescent="0.2">
      <c r="A55" t="s">
        <v>7</v>
      </c>
      <c r="B55" s="5" t="s">
        <v>56</v>
      </c>
    </row>
    <row r="56" spans="1:2" x14ac:dyDescent="0.2">
      <c r="A56" t="s">
        <v>9</v>
      </c>
      <c r="B56" s="5" t="s">
        <v>836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841</v>
      </c>
    </row>
    <row r="60" spans="1:2" x14ac:dyDescent="0.2">
      <c r="A60" t="s">
        <v>3</v>
      </c>
      <c r="B60" s="5">
        <v>2004</v>
      </c>
    </row>
    <row r="61" spans="1:2" x14ac:dyDescent="0.2">
      <c r="A61" t="s">
        <v>4</v>
      </c>
      <c r="B61" s="5">
        <v>4.5999999999999996</v>
      </c>
    </row>
    <row r="62" spans="1:2" x14ac:dyDescent="0.2">
      <c r="A62" t="s">
        <v>5</v>
      </c>
      <c r="B62" s="5" t="s">
        <v>842</v>
      </c>
    </row>
    <row r="63" spans="1:2" x14ac:dyDescent="0.2">
      <c r="A63" t="s">
        <v>7</v>
      </c>
      <c r="B63" s="5" t="s">
        <v>337</v>
      </c>
    </row>
    <row r="64" spans="1:2" x14ac:dyDescent="0.2">
      <c r="A64" t="s">
        <v>9</v>
      </c>
      <c r="B64" s="5" t="s">
        <v>843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844</v>
      </c>
    </row>
    <row r="68" spans="1:2" x14ac:dyDescent="0.2">
      <c r="A68" t="s">
        <v>3</v>
      </c>
      <c r="B68" s="5">
        <v>1949</v>
      </c>
    </row>
    <row r="69" spans="1:2" x14ac:dyDescent="0.2">
      <c r="A69" t="s">
        <v>4</v>
      </c>
      <c r="B69" s="5">
        <v>4.8</v>
      </c>
    </row>
    <row r="70" spans="1:2" x14ac:dyDescent="0.2">
      <c r="A70" t="s">
        <v>5</v>
      </c>
      <c r="B70" s="5" t="s">
        <v>845</v>
      </c>
    </row>
    <row r="71" spans="1:2" x14ac:dyDescent="0.2">
      <c r="A71" t="s">
        <v>7</v>
      </c>
      <c r="B71" s="5" t="s">
        <v>180</v>
      </c>
    </row>
    <row r="72" spans="1:2" s="3" customFormat="1" x14ac:dyDescent="0.2">
      <c r="A72"/>
      <c r="B72" s="5"/>
    </row>
    <row r="73" spans="1:2" s="3" customFormat="1" x14ac:dyDescent="0.2">
      <c r="A73" t="s">
        <v>0</v>
      </c>
      <c r="B73" s="5">
        <v>10</v>
      </c>
    </row>
    <row r="74" spans="1:2" s="3" customFormat="1" x14ac:dyDescent="0.2">
      <c r="A74" t="s">
        <v>1</v>
      </c>
      <c r="B74" s="5" t="s">
        <v>846</v>
      </c>
    </row>
    <row r="75" spans="1:2" s="3" customFormat="1" x14ac:dyDescent="0.2">
      <c r="A75" t="s">
        <v>3</v>
      </c>
      <c r="B75" s="5">
        <v>1929</v>
      </c>
    </row>
    <row r="76" spans="1:2" s="3" customFormat="1" x14ac:dyDescent="0.2">
      <c r="A76" t="s">
        <v>4</v>
      </c>
      <c r="B76" s="5">
        <v>4.5999999999999996</v>
      </c>
    </row>
    <row r="77" spans="1:2" s="3" customFormat="1" x14ac:dyDescent="0.2">
      <c r="A77" t="s">
        <v>5</v>
      </c>
      <c r="B77" s="5" t="s">
        <v>847</v>
      </c>
    </row>
    <row r="78" spans="1:2" s="3" customFormat="1" x14ac:dyDescent="0.2">
      <c r="A78" t="s">
        <v>7</v>
      </c>
      <c r="B78" s="5" t="s">
        <v>848</v>
      </c>
    </row>
    <row r="79" spans="1:2" x14ac:dyDescent="0.2">
      <c r="A79" t="s">
        <v>9</v>
      </c>
      <c r="B79" s="5" t="s">
        <v>849</v>
      </c>
    </row>
    <row r="81" spans="1:2" x14ac:dyDescent="0.2">
      <c r="A81" t="s">
        <v>0</v>
      </c>
      <c r="B81" s="5">
        <v>11</v>
      </c>
    </row>
    <row r="82" spans="1:2" x14ac:dyDescent="0.2">
      <c r="A82" t="s">
        <v>1</v>
      </c>
      <c r="B82" s="5" t="s">
        <v>850</v>
      </c>
    </row>
    <row r="83" spans="1:2" x14ac:dyDescent="0.2">
      <c r="A83" t="s">
        <v>3</v>
      </c>
      <c r="B83" s="5">
        <v>1776</v>
      </c>
    </row>
    <row r="84" spans="1:2" x14ac:dyDescent="0.2">
      <c r="A84" t="s">
        <v>4</v>
      </c>
      <c r="B84" s="5">
        <v>4.5999999999999996</v>
      </c>
    </row>
    <row r="85" spans="1:2" x14ac:dyDescent="0.2">
      <c r="A85" t="s">
        <v>5</v>
      </c>
      <c r="B85" s="5" t="s">
        <v>851</v>
      </c>
    </row>
    <row r="86" spans="1:2" x14ac:dyDescent="0.2">
      <c r="A86" t="s">
        <v>7</v>
      </c>
      <c r="B86" s="5" t="s">
        <v>56</v>
      </c>
    </row>
    <row r="87" spans="1:2" x14ac:dyDescent="0.2">
      <c r="A87" t="s">
        <v>9</v>
      </c>
      <c r="B87" s="5" t="s">
        <v>852</v>
      </c>
    </row>
    <row r="89" spans="1:2" x14ac:dyDescent="0.2">
      <c r="A89" t="s">
        <v>0</v>
      </c>
      <c r="B89" s="5">
        <v>12</v>
      </c>
    </row>
    <row r="90" spans="1:2" x14ac:dyDescent="0.2">
      <c r="A90" t="s">
        <v>1</v>
      </c>
      <c r="B90" s="5" t="s">
        <v>853</v>
      </c>
    </row>
    <row r="91" spans="1:2" x14ac:dyDescent="0.2">
      <c r="A91" t="s">
        <v>3</v>
      </c>
      <c r="B91" s="5">
        <v>1615</v>
      </c>
    </row>
    <row r="92" spans="1:2" x14ac:dyDescent="0.2">
      <c r="A92" t="s">
        <v>4</v>
      </c>
      <c r="B92" s="5">
        <v>4.7</v>
      </c>
    </row>
    <row r="93" spans="1:2" x14ac:dyDescent="0.2">
      <c r="A93" t="s">
        <v>5</v>
      </c>
      <c r="B93" s="5" t="s">
        <v>842</v>
      </c>
    </row>
    <row r="94" spans="1:2" x14ac:dyDescent="0.2">
      <c r="A94" t="s">
        <v>7</v>
      </c>
      <c r="B94" s="5" t="s">
        <v>56</v>
      </c>
    </row>
    <row r="95" spans="1:2" x14ac:dyDescent="0.2">
      <c r="A95" t="s">
        <v>9</v>
      </c>
      <c r="B95" s="5" t="s">
        <v>854</v>
      </c>
    </row>
    <row r="97" spans="1:2" x14ac:dyDescent="0.2">
      <c r="A97" t="s">
        <v>0</v>
      </c>
      <c r="B97" s="5">
        <v>13</v>
      </c>
    </row>
    <row r="98" spans="1:2" x14ac:dyDescent="0.2">
      <c r="A98" t="s">
        <v>1</v>
      </c>
      <c r="B98" s="5" t="s">
        <v>855</v>
      </c>
    </row>
    <row r="99" spans="1:2" x14ac:dyDescent="0.2">
      <c r="A99" t="s">
        <v>3</v>
      </c>
      <c r="B99" s="5">
        <v>1581</v>
      </c>
    </row>
    <row r="100" spans="1:2" x14ac:dyDescent="0.2">
      <c r="A100" t="s">
        <v>4</v>
      </c>
      <c r="B100" s="5">
        <v>4.5999999999999996</v>
      </c>
    </row>
    <row r="101" spans="1:2" x14ac:dyDescent="0.2">
      <c r="A101" t="s">
        <v>5</v>
      </c>
      <c r="B101" s="5" t="s">
        <v>856</v>
      </c>
    </row>
    <row r="102" spans="1:2" x14ac:dyDescent="0.2">
      <c r="A102" t="s">
        <v>7</v>
      </c>
      <c r="B102" s="5" t="s">
        <v>180</v>
      </c>
    </row>
    <row r="103" spans="1:2" x14ac:dyDescent="0.2">
      <c r="A103" t="s">
        <v>9</v>
      </c>
      <c r="B103" s="5" t="s">
        <v>857</v>
      </c>
    </row>
    <row r="105" spans="1:2" x14ac:dyDescent="0.2">
      <c r="A105" t="s">
        <v>0</v>
      </c>
      <c r="B105" s="5">
        <v>14</v>
      </c>
    </row>
    <row r="106" spans="1:2" x14ac:dyDescent="0.2">
      <c r="A106" t="s">
        <v>1</v>
      </c>
      <c r="B106" s="5" t="s">
        <v>858</v>
      </c>
    </row>
    <row r="107" spans="1:2" x14ac:dyDescent="0.2">
      <c r="A107" t="s">
        <v>3</v>
      </c>
      <c r="B107" s="5">
        <v>1484</v>
      </c>
    </row>
    <row r="108" spans="1:2" x14ac:dyDescent="0.2">
      <c r="A108" t="s">
        <v>4</v>
      </c>
      <c r="B108" s="5">
        <v>4.7</v>
      </c>
    </row>
    <row r="109" spans="1:2" x14ac:dyDescent="0.2">
      <c r="A109" t="s">
        <v>5</v>
      </c>
      <c r="B109" s="5" t="s">
        <v>859</v>
      </c>
    </row>
    <row r="110" spans="1:2" x14ac:dyDescent="0.2">
      <c r="A110" t="s">
        <v>7</v>
      </c>
      <c r="B110" s="5" t="s">
        <v>56</v>
      </c>
    </row>
    <row r="111" spans="1:2" x14ac:dyDescent="0.2">
      <c r="A111" t="s">
        <v>9</v>
      </c>
      <c r="B111" s="5" t="s">
        <v>838</v>
      </c>
    </row>
    <row r="113" spans="1:2" x14ac:dyDescent="0.2">
      <c r="A113" t="s">
        <v>0</v>
      </c>
      <c r="B113" s="5">
        <v>15</v>
      </c>
    </row>
    <row r="114" spans="1:2" x14ac:dyDescent="0.2">
      <c r="A114" t="s">
        <v>1</v>
      </c>
      <c r="B114" s="5" t="s">
        <v>860</v>
      </c>
    </row>
    <row r="115" spans="1:2" x14ac:dyDescent="0.2">
      <c r="A115" t="s">
        <v>3</v>
      </c>
      <c r="B115" s="5">
        <v>1479</v>
      </c>
    </row>
    <row r="116" spans="1:2" x14ac:dyDescent="0.2">
      <c r="A116" t="s">
        <v>4</v>
      </c>
      <c r="B116" s="5">
        <v>4.7</v>
      </c>
    </row>
    <row r="117" spans="1:2" x14ac:dyDescent="0.2">
      <c r="A117" t="s">
        <v>5</v>
      </c>
      <c r="B117" s="5" t="s">
        <v>205</v>
      </c>
    </row>
    <row r="118" spans="1:2" x14ac:dyDescent="0.2">
      <c r="A118" t="s">
        <v>7</v>
      </c>
      <c r="B118" s="5" t="s">
        <v>85</v>
      </c>
    </row>
    <row r="119" spans="1:2" x14ac:dyDescent="0.2">
      <c r="A119" t="s">
        <v>9</v>
      </c>
      <c r="B119" s="5" t="s">
        <v>861</v>
      </c>
    </row>
    <row r="121" spans="1:2" x14ac:dyDescent="0.2">
      <c r="A121" t="s">
        <v>0</v>
      </c>
      <c r="B121" s="5">
        <v>16</v>
      </c>
    </row>
    <row r="122" spans="1:2" x14ac:dyDescent="0.2">
      <c r="A122" t="s">
        <v>1</v>
      </c>
      <c r="B122" s="5" t="s">
        <v>862</v>
      </c>
    </row>
    <row r="123" spans="1:2" x14ac:dyDescent="0.2">
      <c r="A123" t="s">
        <v>3</v>
      </c>
      <c r="B123" s="5">
        <v>1382</v>
      </c>
    </row>
    <row r="124" spans="1:2" x14ac:dyDescent="0.2">
      <c r="A124" t="s">
        <v>4</v>
      </c>
      <c r="B124" s="5">
        <v>4.5</v>
      </c>
    </row>
    <row r="125" spans="1:2" x14ac:dyDescent="0.2">
      <c r="A125" t="s">
        <v>5</v>
      </c>
      <c r="B125" s="5" t="s">
        <v>863</v>
      </c>
    </row>
    <row r="126" spans="1:2" x14ac:dyDescent="0.2">
      <c r="A126" t="s">
        <v>7</v>
      </c>
      <c r="B126" s="5" t="s">
        <v>337</v>
      </c>
    </row>
    <row r="127" spans="1:2" x14ac:dyDescent="0.2">
      <c r="A127" t="s">
        <v>9</v>
      </c>
      <c r="B127" s="5" t="s">
        <v>864</v>
      </c>
    </row>
    <row r="129" spans="1:2" x14ac:dyDescent="0.2">
      <c r="A129" t="s">
        <v>0</v>
      </c>
      <c r="B129" s="5">
        <v>17</v>
      </c>
    </row>
    <row r="130" spans="1:2" x14ac:dyDescent="0.2">
      <c r="A130" t="s">
        <v>1</v>
      </c>
      <c r="B130" s="5" t="s">
        <v>865</v>
      </c>
    </row>
    <row r="131" spans="1:2" x14ac:dyDescent="0.2">
      <c r="A131" t="s">
        <v>3</v>
      </c>
      <c r="B131" s="5">
        <v>1345</v>
      </c>
    </row>
    <row r="132" spans="1:2" x14ac:dyDescent="0.2">
      <c r="A132" t="s">
        <v>4</v>
      </c>
      <c r="B132" s="5">
        <v>4.7</v>
      </c>
    </row>
    <row r="133" spans="1:2" x14ac:dyDescent="0.2">
      <c r="A133" t="s">
        <v>5</v>
      </c>
      <c r="B133" s="5" t="s">
        <v>866</v>
      </c>
    </row>
    <row r="134" spans="1:2" x14ac:dyDescent="0.2">
      <c r="A134" t="s">
        <v>7</v>
      </c>
      <c r="B134" s="5" t="s">
        <v>56</v>
      </c>
    </row>
    <row r="135" spans="1:2" x14ac:dyDescent="0.2">
      <c r="A135" t="s">
        <v>9</v>
      </c>
      <c r="B135" s="5" t="s">
        <v>867</v>
      </c>
    </row>
    <row r="137" spans="1:2" x14ac:dyDescent="0.2">
      <c r="A137" t="s">
        <v>0</v>
      </c>
      <c r="B137" s="5">
        <v>18</v>
      </c>
    </row>
    <row r="138" spans="1:2" x14ac:dyDescent="0.2">
      <c r="A138" t="s">
        <v>1</v>
      </c>
      <c r="B138" s="5" t="s">
        <v>868</v>
      </c>
    </row>
    <row r="139" spans="1:2" x14ac:dyDescent="0.2">
      <c r="A139" t="s">
        <v>3</v>
      </c>
      <c r="B139" s="5">
        <v>1274</v>
      </c>
    </row>
    <row r="140" spans="1:2" x14ac:dyDescent="0.2">
      <c r="A140" t="s">
        <v>4</v>
      </c>
      <c r="B140" s="5">
        <v>4.7</v>
      </c>
    </row>
    <row r="141" spans="1:2" x14ac:dyDescent="0.2">
      <c r="A141" t="s">
        <v>5</v>
      </c>
      <c r="B141" s="5" t="s">
        <v>869</v>
      </c>
    </row>
    <row r="142" spans="1:2" x14ac:dyDescent="0.2">
      <c r="A142" t="s">
        <v>7</v>
      </c>
      <c r="B142" s="5" t="s">
        <v>337</v>
      </c>
    </row>
    <row r="143" spans="1:2" x14ac:dyDescent="0.2">
      <c r="A143" t="s">
        <v>9</v>
      </c>
      <c r="B143" s="5" t="s">
        <v>870</v>
      </c>
    </row>
    <row r="145" spans="1:2" x14ac:dyDescent="0.2">
      <c r="A145" t="s">
        <v>0</v>
      </c>
      <c r="B145" s="5">
        <v>19</v>
      </c>
    </row>
    <row r="146" spans="1:2" x14ac:dyDescent="0.2">
      <c r="A146" t="s">
        <v>1</v>
      </c>
      <c r="B146" s="5" t="s">
        <v>871</v>
      </c>
    </row>
    <row r="147" spans="1:2" x14ac:dyDescent="0.2">
      <c r="A147" t="s">
        <v>3</v>
      </c>
      <c r="B147" s="5">
        <v>1268</v>
      </c>
    </row>
    <row r="148" spans="1:2" x14ac:dyDescent="0.2">
      <c r="A148" t="s">
        <v>4</v>
      </c>
      <c r="B148" s="5">
        <v>4.7</v>
      </c>
    </row>
    <row r="149" spans="1:2" x14ac:dyDescent="0.2">
      <c r="A149" t="s">
        <v>5</v>
      </c>
      <c r="B149" s="5" t="s">
        <v>872</v>
      </c>
    </row>
    <row r="150" spans="1:2" x14ac:dyDescent="0.2">
      <c r="A150" t="s">
        <v>7</v>
      </c>
      <c r="B150" s="5" t="s">
        <v>56</v>
      </c>
    </row>
    <row r="151" spans="1:2" x14ac:dyDescent="0.2">
      <c r="A151" t="s">
        <v>9</v>
      </c>
      <c r="B151" s="5" t="s">
        <v>873</v>
      </c>
    </row>
    <row r="153" spans="1:2" x14ac:dyDescent="0.2">
      <c r="A153" t="s">
        <v>0</v>
      </c>
      <c r="B153" s="5">
        <v>20</v>
      </c>
    </row>
    <row r="154" spans="1:2" x14ac:dyDescent="0.2">
      <c r="A154" t="s">
        <v>1</v>
      </c>
      <c r="B154" s="5" t="s">
        <v>874</v>
      </c>
    </row>
    <row r="155" spans="1:2" x14ac:dyDescent="0.2">
      <c r="A155" t="s">
        <v>3</v>
      </c>
      <c r="B155" s="5">
        <v>1265</v>
      </c>
    </row>
    <row r="156" spans="1:2" x14ac:dyDescent="0.2">
      <c r="A156" t="s">
        <v>4</v>
      </c>
      <c r="B156" s="5">
        <v>4.7</v>
      </c>
    </row>
    <row r="157" spans="1:2" x14ac:dyDescent="0.2">
      <c r="A157" t="s">
        <v>5</v>
      </c>
      <c r="B157" s="5" t="s">
        <v>875</v>
      </c>
    </row>
    <row r="158" spans="1:2" x14ac:dyDescent="0.2">
      <c r="A158" t="s">
        <v>7</v>
      </c>
      <c r="B158" s="5" t="s">
        <v>56</v>
      </c>
    </row>
    <row r="159" spans="1:2" x14ac:dyDescent="0.2">
      <c r="A159" t="s">
        <v>9</v>
      </c>
      <c r="B159" s="5" t="s">
        <v>876</v>
      </c>
    </row>
    <row r="161" spans="1:2" x14ac:dyDescent="0.2">
      <c r="A161" t="s">
        <v>0</v>
      </c>
      <c r="B161" s="5">
        <v>21</v>
      </c>
    </row>
    <row r="162" spans="1:2" x14ac:dyDescent="0.2">
      <c r="A162" t="s">
        <v>1</v>
      </c>
      <c r="B162" s="5" t="s">
        <v>877</v>
      </c>
    </row>
    <row r="163" spans="1:2" x14ac:dyDescent="0.2">
      <c r="A163" t="s">
        <v>3</v>
      </c>
      <c r="B163" s="5">
        <v>1249</v>
      </c>
    </row>
    <row r="164" spans="1:2" x14ac:dyDescent="0.2">
      <c r="A164" t="s">
        <v>4</v>
      </c>
      <c r="B164" s="5">
        <v>4.7</v>
      </c>
    </row>
    <row r="165" spans="1:2" x14ac:dyDescent="0.2">
      <c r="A165" t="s">
        <v>5</v>
      </c>
      <c r="B165" s="5" t="s">
        <v>878</v>
      </c>
    </row>
    <row r="166" spans="1:2" x14ac:dyDescent="0.2">
      <c r="A166" t="s">
        <v>7</v>
      </c>
      <c r="B166" s="5" t="s">
        <v>89</v>
      </c>
    </row>
    <row r="167" spans="1:2" x14ac:dyDescent="0.2">
      <c r="A167" t="s">
        <v>9</v>
      </c>
      <c r="B167" s="5" t="s">
        <v>879</v>
      </c>
    </row>
    <row r="169" spans="1:2" x14ac:dyDescent="0.2">
      <c r="A169" t="s">
        <v>0</v>
      </c>
      <c r="B169" s="5">
        <v>22</v>
      </c>
    </row>
    <row r="170" spans="1:2" x14ac:dyDescent="0.2">
      <c r="A170" t="s">
        <v>1</v>
      </c>
      <c r="B170" s="5" t="s">
        <v>880</v>
      </c>
    </row>
    <row r="171" spans="1:2" x14ac:dyDescent="0.2">
      <c r="A171" t="s">
        <v>3</v>
      </c>
      <c r="B171" s="5">
        <v>1237</v>
      </c>
    </row>
    <row r="172" spans="1:2" x14ac:dyDescent="0.2">
      <c r="A172" t="s">
        <v>4</v>
      </c>
      <c r="B172" s="5">
        <v>4.5999999999999996</v>
      </c>
    </row>
    <row r="173" spans="1:2" x14ac:dyDescent="0.2">
      <c r="A173" t="s">
        <v>5</v>
      </c>
      <c r="B173" s="5" t="s">
        <v>366</v>
      </c>
    </row>
    <row r="174" spans="1:2" x14ac:dyDescent="0.2">
      <c r="A174" t="s">
        <v>7</v>
      </c>
      <c r="B174" s="5" t="s">
        <v>56</v>
      </c>
    </row>
    <row r="175" spans="1:2" x14ac:dyDescent="0.2">
      <c r="A175" t="s">
        <v>9</v>
      </c>
      <c r="B175" s="5" t="s">
        <v>881</v>
      </c>
    </row>
    <row r="177" spans="1:2" x14ac:dyDescent="0.2">
      <c r="A177" t="s">
        <v>0</v>
      </c>
      <c r="B177" s="5">
        <v>23</v>
      </c>
    </row>
    <row r="178" spans="1:2" x14ac:dyDescent="0.2">
      <c r="A178" t="s">
        <v>1</v>
      </c>
      <c r="B178" s="5" t="s">
        <v>882</v>
      </c>
    </row>
    <row r="179" spans="1:2" x14ac:dyDescent="0.2">
      <c r="A179" t="s">
        <v>3</v>
      </c>
      <c r="B179" s="5">
        <v>1218</v>
      </c>
    </row>
    <row r="180" spans="1:2" x14ac:dyDescent="0.2">
      <c r="A180" t="s">
        <v>4</v>
      </c>
      <c r="B180" s="5">
        <v>4.7</v>
      </c>
    </row>
    <row r="181" spans="1:2" x14ac:dyDescent="0.2">
      <c r="A181" t="s">
        <v>5</v>
      </c>
      <c r="B181" s="5" t="s">
        <v>842</v>
      </c>
    </row>
    <row r="182" spans="1:2" x14ac:dyDescent="0.2">
      <c r="A182" t="s">
        <v>7</v>
      </c>
      <c r="B182" s="5" t="s">
        <v>56</v>
      </c>
    </row>
    <row r="183" spans="1:2" x14ac:dyDescent="0.2">
      <c r="A183" t="s">
        <v>9</v>
      </c>
      <c r="B183" s="5" t="s">
        <v>883</v>
      </c>
    </row>
    <row r="185" spans="1:2" x14ac:dyDescent="0.2">
      <c r="A185" t="s">
        <v>0</v>
      </c>
      <c r="B185" s="5">
        <v>24</v>
      </c>
    </row>
    <row r="186" spans="1:2" x14ac:dyDescent="0.2">
      <c r="A186" t="s">
        <v>1</v>
      </c>
      <c r="B186" s="5" t="s">
        <v>884</v>
      </c>
    </row>
    <row r="187" spans="1:2" x14ac:dyDescent="0.2">
      <c r="A187" t="s">
        <v>3</v>
      </c>
      <c r="B187" s="5">
        <v>1193</v>
      </c>
    </row>
    <row r="188" spans="1:2" x14ac:dyDescent="0.2">
      <c r="A188" t="s">
        <v>4</v>
      </c>
      <c r="B188" s="5">
        <v>4.7</v>
      </c>
    </row>
    <row r="189" spans="1:2" x14ac:dyDescent="0.2">
      <c r="A189" t="s">
        <v>5</v>
      </c>
      <c r="B189" s="5" t="s">
        <v>885</v>
      </c>
    </row>
    <row r="190" spans="1:2" x14ac:dyDescent="0.2">
      <c r="A190" t="s">
        <v>7</v>
      </c>
      <c r="B190" s="5" t="s">
        <v>337</v>
      </c>
    </row>
    <row r="191" spans="1:2" x14ac:dyDescent="0.2">
      <c r="A191" t="s">
        <v>9</v>
      </c>
      <c r="B191" s="5" t="s">
        <v>886</v>
      </c>
    </row>
    <row r="193" spans="1:2" x14ac:dyDescent="0.2">
      <c r="A193" t="s">
        <v>0</v>
      </c>
      <c r="B193" s="5">
        <v>25</v>
      </c>
    </row>
    <row r="194" spans="1:2" x14ac:dyDescent="0.2">
      <c r="A194" t="s">
        <v>1</v>
      </c>
      <c r="B194" s="5" t="s">
        <v>887</v>
      </c>
    </row>
    <row r="195" spans="1:2" x14ac:dyDescent="0.2">
      <c r="A195" t="s">
        <v>3</v>
      </c>
      <c r="B195" s="5">
        <v>1162</v>
      </c>
    </row>
    <row r="196" spans="1:2" x14ac:dyDescent="0.2">
      <c r="A196" t="s">
        <v>4</v>
      </c>
      <c r="B196" s="5">
        <v>4.7</v>
      </c>
    </row>
    <row r="197" spans="1:2" x14ac:dyDescent="0.2">
      <c r="A197" t="s">
        <v>5</v>
      </c>
      <c r="B197" s="5" t="s">
        <v>888</v>
      </c>
    </row>
    <row r="198" spans="1:2" x14ac:dyDescent="0.2">
      <c r="A198" t="s">
        <v>7</v>
      </c>
      <c r="B198" s="5" t="s">
        <v>56</v>
      </c>
    </row>
    <row r="199" spans="1:2" x14ac:dyDescent="0.2">
      <c r="A199" t="s">
        <v>9</v>
      </c>
      <c r="B199" s="5" t="s">
        <v>889</v>
      </c>
    </row>
    <row r="201" spans="1:2" x14ac:dyDescent="0.2">
      <c r="A201" t="s">
        <v>0</v>
      </c>
      <c r="B201" s="5">
        <v>26</v>
      </c>
    </row>
    <row r="202" spans="1:2" x14ac:dyDescent="0.2">
      <c r="A202" t="s">
        <v>1</v>
      </c>
      <c r="B202" s="5" t="s">
        <v>890</v>
      </c>
    </row>
    <row r="203" spans="1:2" x14ac:dyDescent="0.2">
      <c r="A203" t="s">
        <v>3</v>
      </c>
      <c r="B203" s="5">
        <v>1151</v>
      </c>
    </row>
    <row r="204" spans="1:2" x14ac:dyDescent="0.2">
      <c r="A204" t="s">
        <v>4</v>
      </c>
      <c r="B204" s="5">
        <v>4.5</v>
      </c>
    </row>
    <row r="205" spans="1:2" x14ac:dyDescent="0.2">
      <c r="A205" t="s">
        <v>5</v>
      </c>
      <c r="B205" s="5" t="s">
        <v>891</v>
      </c>
    </row>
    <row r="206" spans="1:2" x14ac:dyDescent="0.2">
      <c r="A206" t="s">
        <v>7</v>
      </c>
      <c r="B206" s="5" t="s">
        <v>56</v>
      </c>
    </row>
    <row r="207" spans="1:2" x14ac:dyDescent="0.2">
      <c r="A207" t="s">
        <v>9</v>
      </c>
      <c r="B207" s="5" t="s">
        <v>892</v>
      </c>
    </row>
    <row r="209" spans="1:2" x14ac:dyDescent="0.2">
      <c r="A209" t="s">
        <v>0</v>
      </c>
      <c r="B209" s="5">
        <v>27</v>
      </c>
    </row>
    <row r="210" spans="1:2" x14ac:dyDescent="0.2">
      <c r="A210" t="s">
        <v>1</v>
      </c>
      <c r="B210" s="5" t="s">
        <v>893</v>
      </c>
    </row>
    <row r="211" spans="1:2" x14ac:dyDescent="0.2">
      <c r="A211" t="s">
        <v>3</v>
      </c>
      <c r="B211" s="5">
        <v>1150</v>
      </c>
    </row>
    <row r="212" spans="1:2" x14ac:dyDescent="0.2">
      <c r="A212" t="s">
        <v>4</v>
      </c>
      <c r="B212" s="5">
        <v>4.5999999999999996</v>
      </c>
    </row>
    <row r="213" spans="1:2" x14ac:dyDescent="0.2">
      <c r="A213" t="s">
        <v>5</v>
      </c>
      <c r="B213" s="5" t="s">
        <v>511</v>
      </c>
    </row>
    <row r="214" spans="1:2" x14ac:dyDescent="0.2">
      <c r="A214" t="s">
        <v>7</v>
      </c>
      <c r="B214" s="5" t="s">
        <v>56</v>
      </c>
    </row>
    <row r="215" spans="1:2" x14ac:dyDescent="0.2">
      <c r="A215" t="s">
        <v>9</v>
      </c>
      <c r="B215" s="5" t="s">
        <v>894</v>
      </c>
    </row>
    <row r="217" spans="1:2" x14ac:dyDescent="0.2">
      <c r="A217" t="s">
        <v>0</v>
      </c>
      <c r="B217" s="5">
        <v>28</v>
      </c>
    </row>
    <row r="218" spans="1:2" x14ac:dyDescent="0.2">
      <c r="A218" t="s">
        <v>1</v>
      </c>
      <c r="B218" s="5" t="s">
        <v>895</v>
      </c>
    </row>
    <row r="219" spans="1:2" x14ac:dyDescent="0.2">
      <c r="A219" t="s">
        <v>3</v>
      </c>
      <c r="B219" s="5">
        <v>1069</v>
      </c>
    </row>
    <row r="220" spans="1:2" x14ac:dyDescent="0.2">
      <c r="A220" t="s">
        <v>4</v>
      </c>
      <c r="B220" s="5">
        <v>4.7</v>
      </c>
    </row>
    <row r="221" spans="1:2" x14ac:dyDescent="0.2">
      <c r="A221" t="s">
        <v>5</v>
      </c>
      <c r="B221" s="5" t="s">
        <v>896</v>
      </c>
    </row>
    <row r="222" spans="1:2" x14ac:dyDescent="0.2">
      <c r="A222" t="s">
        <v>7</v>
      </c>
      <c r="B222" s="5" t="s">
        <v>56</v>
      </c>
    </row>
    <row r="223" spans="1:2" x14ac:dyDescent="0.2">
      <c r="A223" t="s">
        <v>9</v>
      </c>
      <c r="B223" s="5" t="s">
        <v>897</v>
      </c>
    </row>
    <row r="225" spans="1:2" x14ac:dyDescent="0.2">
      <c r="A225" t="s">
        <v>0</v>
      </c>
      <c r="B225" s="5">
        <v>29</v>
      </c>
    </row>
    <row r="226" spans="1:2" x14ac:dyDescent="0.2">
      <c r="A226" t="s">
        <v>1</v>
      </c>
      <c r="B226" s="5" t="s">
        <v>898</v>
      </c>
    </row>
    <row r="227" spans="1:2" x14ac:dyDescent="0.2">
      <c r="A227" t="s">
        <v>3</v>
      </c>
      <c r="B227" s="5">
        <v>1033</v>
      </c>
    </row>
    <row r="228" spans="1:2" x14ac:dyDescent="0.2">
      <c r="A228" t="s">
        <v>4</v>
      </c>
      <c r="B228" s="5">
        <v>4.7</v>
      </c>
    </row>
    <row r="229" spans="1:2" x14ac:dyDescent="0.2">
      <c r="A229" t="s">
        <v>5</v>
      </c>
      <c r="B229" s="5" t="s">
        <v>899</v>
      </c>
    </row>
    <row r="230" spans="1:2" x14ac:dyDescent="0.2">
      <c r="A230" t="s">
        <v>7</v>
      </c>
      <c r="B230" s="5" t="s">
        <v>337</v>
      </c>
    </row>
    <row r="231" spans="1:2" x14ac:dyDescent="0.2">
      <c r="A231" t="s">
        <v>9</v>
      </c>
      <c r="B231" s="5" t="s">
        <v>900</v>
      </c>
    </row>
    <row r="233" spans="1:2" x14ac:dyDescent="0.2">
      <c r="A233" t="s">
        <v>0</v>
      </c>
      <c r="B233" s="5">
        <v>30</v>
      </c>
    </row>
    <row r="234" spans="1:2" x14ac:dyDescent="0.2">
      <c r="A234" t="s">
        <v>1</v>
      </c>
      <c r="B234" s="5" t="s">
        <v>901</v>
      </c>
    </row>
    <row r="235" spans="1:2" x14ac:dyDescent="0.2">
      <c r="A235" t="s">
        <v>3</v>
      </c>
      <c r="B235" s="5">
        <v>1031</v>
      </c>
    </row>
    <row r="236" spans="1:2" x14ac:dyDescent="0.2">
      <c r="A236" t="s">
        <v>4</v>
      </c>
      <c r="B236" s="5">
        <v>4.5</v>
      </c>
    </row>
    <row r="237" spans="1:2" x14ac:dyDescent="0.2">
      <c r="A237" t="s">
        <v>5</v>
      </c>
      <c r="B237" s="5" t="s">
        <v>902</v>
      </c>
    </row>
    <row r="238" spans="1:2" x14ac:dyDescent="0.2">
      <c r="A238" t="s">
        <v>7</v>
      </c>
      <c r="B238" s="5" t="s">
        <v>56</v>
      </c>
    </row>
    <row r="239" spans="1:2" x14ac:dyDescent="0.2">
      <c r="A239" t="s">
        <v>9</v>
      </c>
      <c r="B239" s="5" t="s">
        <v>903</v>
      </c>
    </row>
    <row r="241" spans="1:2" x14ac:dyDescent="0.2">
      <c r="A241" t="s">
        <v>0</v>
      </c>
      <c r="B241" s="5">
        <v>31</v>
      </c>
    </row>
    <row r="242" spans="1:2" x14ac:dyDescent="0.2">
      <c r="A242" t="s">
        <v>1</v>
      </c>
      <c r="B242" s="5" t="s">
        <v>904</v>
      </c>
    </row>
    <row r="243" spans="1:2" x14ac:dyDescent="0.2">
      <c r="A243" t="s">
        <v>3</v>
      </c>
      <c r="B243" s="5">
        <v>1011</v>
      </c>
    </row>
    <row r="244" spans="1:2" x14ac:dyDescent="0.2">
      <c r="A244" t="s">
        <v>4</v>
      </c>
      <c r="B244" s="5">
        <v>4.7</v>
      </c>
    </row>
    <row r="245" spans="1:2" x14ac:dyDescent="0.2">
      <c r="A245" t="s">
        <v>5</v>
      </c>
      <c r="B245" s="5" t="s">
        <v>905</v>
      </c>
    </row>
    <row r="246" spans="1:2" x14ac:dyDescent="0.2">
      <c r="A246" t="s">
        <v>7</v>
      </c>
      <c r="B246" s="5" t="s">
        <v>848</v>
      </c>
    </row>
    <row r="247" spans="1:2" x14ac:dyDescent="0.2">
      <c r="A247" t="s">
        <v>9</v>
      </c>
      <c r="B247" s="5" t="s">
        <v>906</v>
      </c>
    </row>
    <row r="249" spans="1:2" x14ac:dyDescent="0.2">
      <c r="A249" t="s">
        <v>0</v>
      </c>
      <c r="B249" s="5">
        <v>32</v>
      </c>
    </row>
    <row r="250" spans="1:2" x14ac:dyDescent="0.2">
      <c r="A250" t="s">
        <v>1</v>
      </c>
      <c r="B250" s="5" t="s">
        <v>907</v>
      </c>
    </row>
    <row r="251" spans="1:2" x14ac:dyDescent="0.2">
      <c r="A251" t="s">
        <v>3</v>
      </c>
      <c r="B251" s="5">
        <v>1003</v>
      </c>
    </row>
    <row r="252" spans="1:2" x14ac:dyDescent="0.2">
      <c r="A252" t="s">
        <v>4</v>
      </c>
      <c r="B252" s="5">
        <v>4.5999999999999996</v>
      </c>
    </row>
    <row r="253" spans="1:2" x14ac:dyDescent="0.2">
      <c r="A253" t="s">
        <v>5</v>
      </c>
      <c r="B253" s="5" t="s">
        <v>908</v>
      </c>
    </row>
    <row r="254" spans="1:2" x14ac:dyDescent="0.2">
      <c r="A254" t="s">
        <v>7</v>
      </c>
      <c r="B254" s="5" t="s">
        <v>56</v>
      </c>
    </row>
    <row r="255" spans="1:2" x14ac:dyDescent="0.2">
      <c r="A255" t="s">
        <v>9</v>
      </c>
      <c r="B255" s="5" t="s">
        <v>909</v>
      </c>
    </row>
    <row r="257" spans="1:2" x14ac:dyDescent="0.2">
      <c r="A257" t="s">
        <v>0</v>
      </c>
      <c r="B257" s="5">
        <v>33</v>
      </c>
    </row>
    <row r="258" spans="1:2" x14ac:dyDescent="0.2">
      <c r="A258" t="s">
        <v>1</v>
      </c>
      <c r="B258" s="5" t="s">
        <v>910</v>
      </c>
    </row>
    <row r="259" spans="1:2" x14ac:dyDescent="0.2">
      <c r="A259" t="s">
        <v>3</v>
      </c>
      <c r="B259" s="5">
        <v>969</v>
      </c>
    </row>
    <row r="260" spans="1:2" x14ac:dyDescent="0.2">
      <c r="A260" t="s">
        <v>4</v>
      </c>
      <c r="B260" s="5">
        <v>4.9000000000000004</v>
      </c>
    </row>
    <row r="261" spans="1:2" x14ac:dyDescent="0.2">
      <c r="A261" t="s">
        <v>5</v>
      </c>
      <c r="B261" s="5" t="s">
        <v>911</v>
      </c>
    </row>
    <row r="262" spans="1:2" x14ac:dyDescent="0.2">
      <c r="A262" t="s">
        <v>7</v>
      </c>
      <c r="B262" s="5" t="s">
        <v>56</v>
      </c>
    </row>
    <row r="263" spans="1:2" x14ac:dyDescent="0.2">
      <c r="A263" t="s">
        <v>9</v>
      </c>
      <c r="B263" s="5" t="s">
        <v>912</v>
      </c>
    </row>
    <row r="265" spans="1:2" x14ac:dyDescent="0.2">
      <c r="A265" t="s">
        <v>0</v>
      </c>
      <c r="B265" s="5">
        <v>34</v>
      </c>
    </row>
    <row r="266" spans="1:2" x14ac:dyDescent="0.2">
      <c r="A266" t="s">
        <v>1</v>
      </c>
      <c r="B266" s="5" t="s">
        <v>913</v>
      </c>
    </row>
    <row r="267" spans="1:2" x14ac:dyDescent="0.2">
      <c r="A267" t="s">
        <v>3</v>
      </c>
      <c r="B267" s="5">
        <v>951</v>
      </c>
    </row>
    <row r="268" spans="1:2" x14ac:dyDescent="0.2">
      <c r="A268" t="s">
        <v>4</v>
      </c>
      <c r="B268" s="5">
        <v>4.8</v>
      </c>
    </row>
    <row r="269" spans="1:2" x14ac:dyDescent="0.2">
      <c r="A269" t="s">
        <v>5</v>
      </c>
      <c r="B269" s="5" t="s">
        <v>875</v>
      </c>
    </row>
    <row r="270" spans="1:2" x14ac:dyDescent="0.2">
      <c r="A270" t="s">
        <v>7</v>
      </c>
      <c r="B270" s="5" t="s">
        <v>36</v>
      </c>
    </row>
    <row r="271" spans="1:2" x14ac:dyDescent="0.2">
      <c r="A271" t="s">
        <v>9</v>
      </c>
      <c r="B271" s="5" t="s">
        <v>914</v>
      </c>
    </row>
    <row r="273" spans="1:2" x14ac:dyDescent="0.2">
      <c r="A273" t="s">
        <v>0</v>
      </c>
      <c r="B273" s="5">
        <v>35</v>
      </c>
    </row>
    <row r="274" spans="1:2" x14ac:dyDescent="0.2">
      <c r="A274" t="s">
        <v>1</v>
      </c>
      <c r="B274" s="5" t="s">
        <v>915</v>
      </c>
    </row>
    <row r="275" spans="1:2" x14ac:dyDescent="0.2">
      <c r="A275" t="s">
        <v>3</v>
      </c>
      <c r="B275" s="5">
        <v>928</v>
      </c>
    </row>
    <row r="276" spans="1:2" x14ac:dyDescent="0.2">
      <c r="A276" t="s">
        <v>4</v>
      </c>
      <c r="B276" s="5">
        <v>4.4000000000000004</v>
      </c>
    </row>
    <row r="277" spans="1:2" x14ac:dyDescent="0.2">
      <c r="A277" t="s">
        <v>5</v>
      </c>
      <c r="B277" s="5" t="s">
        <v>916</v>
      </c>
    </row>
    <row r="278" spans="1:2" x14ac:dyDescent="0.2">
      <c r="A278" t="s">
        <v>7</v>
      </c>
      <c r="B278" s="5" t="s">
        <v>56</v>
      </c>
    </row>
    <row r="279" spans="1:2" x14ac:dyDescent="0.2">
      <c r="A279" t="s">
        <v>9</v>
      </c>
      <c r="B279" s="5" t="s">
        <v>917</v>
      </c>
    </row>
    <row r="281" spans="1:2" x14ac:dyDescent="0.2">
      <c r="A281" t="s">
        <v>0</v>
      </c>
      <c r="B281" s="5">
        <v>36</v>
      </c>
    </row>
    <row r="282" spans="1:2" x14ac:dyDescent="0.2">
      <c r="A282" t="s">
        <v>1</v>
      </c>
      <c r="B282" s="5" t="s">
        <v>918</v>
      </c>
    </row>
    <row r="283" spans="1:2" x14ac:dyDescent="0.2">
      <c r="A283" t="s">
        <v>3</v>
      </c>
      <c r="B283" s="5">
        <v>904</v>
      </c>
    </row>
    <row r="284" spans="1:2" x14ac:dyDescent="0.2">
      <c r="A284" t="s">
        <v>4</v>
      </c>
      <c r="B284" s="5">
        <v>4.5</v>
      </c>
    </row>
    <row r="285" spans="1:2" x14ac:dyDescent="0.2">
      <c r="A285" t="s">
        <v>5</v>
      </c>
      <c r="B285" s="5" t="s">
        <v>919</v>
      </c>
    </row>
    <row r="286" spans="1:2" x14ac:dyDescent="0.2">
      <c r="A286" t="s">
        <v>7</v>
      </c>
      <c r="B286" s="5" t="s">
        <v>337</v>
      </c>
    </row>
    <row r="287" spans="1:2" x14ac:dyDescent="0.2">
      <c r="A287" t="s">
        <v>9</v>
      </c>
      <c r="B287" s="5" t="s">
        <v>920</v>
      </c>
    </row>
    <row r="289" spans="1:2" x14ac:dyDescent="0.2">
      <c r="A289" t="s">
        <v>0</v>
      </c>
      <c r="B289" s="5">
        <v>37</v>
      </c>
    </row>
    <row r="290" spans="1:2" x14ac:dyDescent="0.2">
      <c r="A290" t="s">
        <v>1</v>
      </c>
      <c r="B290" s="5" t="s">
        <v>921</v>
      </c>
    </row>
    <row r="291" spans="1:2" x14ac:dyDescent="0.2">
      <c r="A291" t="s">
        <v>3</v>
      </c>
      <c r="B291" s="5">
        <v>899</v>
      </c>
    </row>
    <row r="292" spans="1:2" x14ac:dyDescent="0.2">
      <c r="A292" t="s">
        <v>4</v>
      </c>
      <c r="B292" s="5">
        <v>4.5999999999999996</v>
      </c>
    </row>
    <row r="293" spans="1:2" x14ac:dyDescent="0.2">
      <c r="A293" t="s">
        <v>5</v>
      </c>
      <c r="B293" s="5" t="s">
        <v>842</v>
      </c>
    </row>
    <row r="294" spans="1:2" x14ac:dyDescent="0.2">
      <c r="A294" t="s">
        <v>7</v>
      </c>
      <c r="B294" s="5" t="s">
        <v>922</v>
      </c>
    </row>
    <row r="295" spans="1:2" x14ac:dyDescent="0.2">
      <c r="A295" t="s">
        <v>9</v>
      </c>
      <c r="B295" s="5" t="s">
        <v>923</v>
      </c>
    </row>
    <row r="297" spans="1:2" x14ac:dyDescent="0.2">
      <c r="A297" t="s">
        <v>0</v>
      </c>
      <c r="B297" s="5">
        <v>38</v>
      </c>
    </row>
    <row r="298" spans="1:2" x14ac:dyDescent="0.2">
      <c r="A298" t="s">
        <v>1</v>
      </c>
      <c r="B298" s="5" t="s">
        <v>924</v>
      </c>
    </row>
    <row r="299" spans="1:2" x14ac:dyDescent="0.2">
      <c r="A299" t="s">
        <v>3</v>
      </c>
      <c r="B299" s="5">
        <v>897</v>
      </c>
    </row>
    <row r="300" spans="1:2" x14ac:dyDescent="0.2">
      <c r="A300" t="s">
        <v>4</v>
      </c>
      <c r="B300" s="5">
        <v>4.5</v>
      </c>
    </row>
    <row r="301" spans="1:2" x14ac:dyDescent="0.2">
      <c r="A301" t="s">
        <v>5</v>
      </c>
      <c r="B301" s="5" t="s">
        <v>925</v>
      </c>
    </row>
    <row r="302" spans="1:2" x14ac:dyDescent="0.2">
      <c r="A302" t="s">
        <v>7</v>
      </c>
      <c r="B302" s="5" t="s">
        <v>56</v>
      </c>
    </row>
    <row r="303" spans="1:2" x14ac:dyDescent="0.2">
      <c r="A303" t="s">
        <v>9</v>
      </c>
      <c r="B303" s="5" t="s">
        <v>926</v>
      </c>
    </row>
    <row r="305" spans="1:2" x14ac:dyDescent="0.2">
      <c r="A305" t="s">
        <v>0</v>
      </c>
      <c r="B305" s="5">
        <v>39</v>
      </c>
    </row>
    <row r="306" spans="1:2" x14ac:dyDescent="0.2">
      <c r="A306" t="s">
        <v>1</v>
      </c>
      <c r="B306" s="5" t="s">
        <v>927</v>
      </c>
    </row>
    <row r="307" spans="1:2" x14ac:dyDescent="0.2">
      <c r="A307" t="s">
        <v>3</v>
      </c>
      <c r="B307" s="5">
        <v>895</v>
      </c>
    </row>
    <row r="308" spans="1:2" x14ac:dyDescent="0.2">
      <c r="A308" t="s">
        <v>4</v>
      </c>
      <c r="B308" s="5">
        <v>4.8</v>
      </c>
    </row>
    <row r="309" spans="1:2" x14ac:dyDescent="0.2">
      <c r="A309" t="s">
        <v>5</v>
      </c>
      <c r="B309" s="5" t="s">
        <v>911</v>
      </c>
    </row>
    <row r="310" spans="1:2" x14ac:dyDescent="0.2">
      <c r="A310" t="s">
        <v>7</v>
      </c>
      <c r="B310" s="5" t="s">
        <v>56</v>
      </c>
    </row>
    <row r="311" spans="1:2" x14ac:dyDescent="0.2">
      <c r="A311" t="s">
        <v>9</v>
      </c>
      <c r="B311" s="5" t="s">
        <v>909</v>
      </c>
    </row>
    <row r="313" spans="1:2" x14ac:dyDescent="0.2">
      <c r="A313" t="s">
        <v>0</v>
      </c>
      <c r="B313" s="5">
        <v>40</v>
      </c>
    </row>
    <row r="314" spans="1:2" x14ac:dyDescent="0.2">
      <c r="A314" t="s">
        <v>1</v>
      </c>
      <c r="B314" s="5" t="s">
        <v>928</v>
      </c>
    </row>
    <row r="315" spans="1:2" x14ac:dyDescent="0.2">
      <c r="A315" t="s">
        <v>3</v>
      </c>
      <c r="B315" s="5">
        <v>869</v>
      </c>
    </row>
    <row r="316" spans="1:2" x14ac:dyDescent="0.2">
      <c r="A316" t="s">
        <v>4</v>
      </c>
      <c r="B316" s="5">
        <v>4.5999999999999996</v>
      </c>
    </row>
    <row r="317" spans="1:2" x14ac:dyDescent="0.2">
      <c r="A317" t="s">
        <v>5</v>
      </c>
      <c r="B317" s="5" t="s">
        <v>925</v>
      </c>
    </row>
    <row r="318" spans="1:2" x14ac:dyDescent="0.2">
      <c r="A318" t="s">
        <v>7</v>
      </c>
      <c r="B318" s="5" t="s">
        <v>337</v>
      </c>
    </row>
    <row r="319" spans="1:2" x14ac:dyDescent="0.2">
      <c r="A319" t="s">
        <v>9</v>
      </c>
      <c r="B319" s="5" t="s">
        <v>864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F0878-7262-4FC4-BAAB-E148505E05B2}">
  <sheetPr codeName="Sheet14">
    <tabColor rgb="FF002060"/>
  </sheetPr>
  <dimension ref="A1:B320"/>
  <sheetViews>
    <sheetView zoomScaleNormal="100" workbookViewId="0">
      <selection activeCell="B1" sqref="B1:B1048576"/>
    </sheetView>
  </sheetViews>
  <sheetFormatPr defaultRowHeight="14.25" x14ac:dyDescent="0.2"/>
  <cols>
    <col min="1" max="1" width="11" bestFit="1" customWidth="1"/>
    <col min="2" max="2" width="9" style="5"/>
  </cols>
  <sheetData>
    <row r="1" spans="1:2" ht="15" thickBot="1" x14ac:dyDescent="0.25">
      <c r="A1" s="10" t="str">
        <f>HYPERLINK(INDEX(获取工作表名,1)&amp;"!A"&amp;MATCH("云南昆明店",汇总!B:B,0),"云南昆明店")</f>
        <v>云南昆明店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1044</v>
      </c>
    </row>
    <row r="4" spans="1:2" x14ac:dyDescent="0.2">
      <c r="A4" t="s">
        <v>3</v>
      </c>
      <c r="B4" s="5">
        <v>9753</v>
      </c>
    </row>
    <row r="5" spans="1:2" x14ac:dyDescent="0.2">
      <c r="A5" t="s">
        <v>4</v>
      </c>
      <c r="B5" s="5">
        <v>4.7</v>
      </c>
    </row>
    <row r="6" spans="1:2" x14ac:dyDescent="0.2">
      <c r="A6" t="s">
        <v>5</v>
      </c>
      <c r="B6" s="5" t="s">
        <v>1045</v>
      </c>
    </row>
    <row r="7" spans="1:2" x14ac:dyDescent="0.2">
      <c r="A7" t="s">
        <v>7</v>
      </c>
      <c r="B7" s="5" t="s">
        <v>732</v>
      </c>
    </row>
    <row r="8" spans="1:2" x14ac:dyDescent="0.2">
      <c r="A8" t="s">
        <v>9</v>
      </c>
      <c r="B8" s="5" t="s">
        <v>1046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1047</v>
      </c>
    </row>
    <row r="12" spans="1:2" x14ac:dyDescent="0.2">
      <c r="A12" t="s">
        <v>3</v>
      </c>
      <c r="B12" s="5">
        <v>4668</v>
      </c>
    </row>
    <row r="13" spans="1:2" x14ac:dyDescent="0.2">
      <c r="A13" t="s">
        <v>4</v>
      </c>
      <c r="B13" s="5">
        <v>4.5999999999999996</v>
      </c>
    </row>
    <row r="14" spans="1:2" x14ac:dyDescent="0.2">
      <c r="A14" t="s">
        <v>5</v>
      </c>
      <c r="B14" s="5" t="s">
        <v>1048</v>
      </c>
    </row>
    <row r="15" spans="1:2" x14ac:dyDescent="0.2">
      <c r="A15" t="s">
        <v>7</v>
      </c>
      <c r="B15" s="5" t="s">
        <v>1049</v>
      </c>
    </row>
    <row r="16" spans="1:2" x14ac:dyDescent="0.2">
      <c r="A16" t="s">
        <v>9</v>
      </c>
      <c r="B16" s="5" t="s">
        <v>1050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1051</v>
      </c>
    </row>
    <row r="20" spans="1:2" x14ac:dyDescent="0.2">
      <c r="A20" t="s">
        <v>3</v>
      </c>
      <c r="B20" s="5">
        <v>4584</v>
      </c>
    </row>
    <row r="21" spans="1:2" x14ac:dyDescent="0.2">
      <c r="A21" t="s">
        <v>4</v>
      </c>
      <c r="B21" s="5">
        <v>4.5999999999999996</v>
      </c>
    </row>
    <row r="22" spans="1:2" x14ac:dyDescent="0.2">
      <c r="A22" t="s">
        <v>5</v>
      </c>
      <c r="B22" s="5" t="s">
        <v>1052</v>
      </c>
    </row>
    <row r="23" spans="1:2" x14ac:dyDescent="0.2">
      <c r="A23" t="s">
        <v>7</v>
      </c>
      <c r="B23" s="5" t="s">
        <v>746</v>
      </c>
    </row>
    <row r="24" spans="1:2" x14ac:dyDescent="0.2">
      <c r="A24" t="s">
        <v>9</v>
      </c>
      <c r="B24" s="5" t="s">
        <v>1053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1054</v>
      </c>
    </row>
    <row r="28" spans="1:2" x14ac:dyDescent="0.2">
      <c r="A28" t="s">
        <v>3</v>
      </c>
      <c r="B28" s="5">
        <v>4078</v>
      </c>
    </row>
    <row r="29" spans="1:2" x14ac:dyDescent="0.2">
      <c r="A29" t="s">
        <v>4</v>
      </c>
      <c r="B29" s="5">
        <v>4.5</v>
      </c>
    </row>
    <row r="30" spans="1:2" x14ac:dyDescent="0.2">
      <c r="A30" t="s">
        <v>5</v>
      </c>
      <c r="B30" s="5" t="s">
        <v>1055</v>
      </c>
    </row>
    <row r="31" spans="1:2" x14ac:dyDescent="0.2">
      <c r="A31" t="s">
        <v>7</v>
      </c>
      <c r="B31" s="5" t="s">
        <v>688</v>
      </c>
    </row>
    <row r="32" spans="1:2" x14ac:dyDescent="0.2">
      <c r="A32" t="s">
        <v>9</v>
      </c>
      <c r="B32" s="5" t="s">
        <v>1056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1057</v>
      </c>
    </row>
    <row r="36" spans="1:2" x14ac:dyDescent="0.2">
      <c r="A36" t="s">
        <v>3</v>
      </c>
      <c r="B36" s="5">
        <v>3718</v>
      </c>
    </row>
    <row r="37" spans="1:2" x14ac:dyDescent="0.2">
      <c r="A37" t="s">
        <v>4</v>
      </c>
      <c r="B37" s="5">
        <v>4.5999999999999996</v>
      </c>
    </row>
    <row r="38" spans="1:2" x14ac:dyDescent="0.2">
      <c r="A38" t="s">
        <v>5</v>
      </c>
      <c r="B38" s="5" t="s">
        <v>1058</v>
      </c>
    </row>
    <row r="39" spans="1:2" x14ac:dyDescent="0.2">
      <c r="A39" t="s">
        <v>7</v>
      </c>
      <c r="B39" s="5" t="s">
        <v>180</v>
      </c>
    </row>
    <row r="40" spans="1:2" x14ac:dyDescent="0.2">
      <c r="A40" t="s">
        <v>9</v>
      </c>
      <c r="B40" s="5" t="s">
        <v>1059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1060</v>
      </c>
    </row>
    <row r="44" spans="1:2" x14ac:dyDescent="0.2">
      <c r="A44" t="s">
        <v>3</v>
      </c>
      <c r="B44" s="5">
        <v>3668</v>
      </c>
    </row>
    <row r="45" spans="1:2" x14ac:dyDescent="0.2">
      <c r="A45" t="s">
        <v>4</v>
      </c>
      <c r="B45" s="5">
        <v>4.5999999999999996</v>
      </c>
    </row>
    <row r="46" spans="1:2" x14ac:dyDescent="0.2">
      <c r="A46" t="s">
        <v>5</v>
      </c>
      <c r="B46" s="5" t="s">
        <v>1061</v>
      </c>
    </row>
    <row r="47" spans="1:2" x14ac:dyDescent="0.2">
      <c r="A47" t="s">
        <v>7</v>
      </c>
      <c r="B47" s="5" t="s">
        <v>1062</v>
      </c>
    </row>
    <row r="48" spans="1:2" x14ac:dyDescent="0.2">
      <c r="A48" t="s">
        <v>9</v>
      </c>
      <c r="B48" s="5" t="s">
        <v>1063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1064</v>
      </c>
    </row>
    <row r="52" spans="1:2" x14ac:dyDescent="0.2">
      <c r="A52" t="s">
        <v>3</v>
      </c>
      <c r="B52" s="5">
        <v>3615</v>
      </c>
    </row>
    <row r="53" spans="1:2" x14ac:dyDescent="0.2">
      <c r="A53" t="s">
        <v>4</v>
      </c>
      <c r="B53" s="5">
        <v>4.7</v>
      </c>
    </row>
    <row r="54" spans="1:2" x14ac:dyDescent="0.2">
      <c r="A54" t="s">
        <v>5</v>
      </c>
      <c r="B54" s="5" t="s">
        <v>1065</v>
      </c>
    </row>
    <row r="55" spans="1:2" x14ac:dyDescent="0.2">
      <c r="A55" t="s">
        <v>7</v>
      </c>
      <c r="B55" s="5" t="s">
        <v>943</v>
      </c>
    </row>
    <row r="56" spans="1:2" x14ac:dyDescent="0.2">
      <c r="A56" t="s">
        <v>9</v>
      </c>
      <c r="B56" s="5" t="s">
        <v>1066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1067</v>
      </c>
    </row>
    <row r="60" spans="1:2" x14ac:dyDescent="0.2">
      <c r="A60" t="s">
        <v>3</v>
      </c>
      <c r="B60" s="5">
        <v>3608</v>
      </c>
    </row>
    <row r="61" spans="1:2" x14ac:dyDescent="0.2">
      <c r="A61" t="s">
        <v>4</v>
      </c>
      <c r="B61" s="5">
        <v>4.5</v>
      </c>
    </row>
    <row r="62" spans="1:2" x14ac:dyDescent="0.2">
      <c r="A62" t="s">
        <v>5</v>
      </c>
      <c r="B62" s="5" t="s">
        <v>437</v>
      </c>
    </row>
    <row r="63" spans="1:2" x14ac:dyDescent="0.2">
      <c r="A63" t="s">
        <v>7</v>
      </c>
      <c r="B63" s="5" t="s">
        <v>746</v>
      </c>
    </row>
    <row r="64" spans="1:2" x14ac:dyDescent="0.2">
      <c r="A64" t="s">
        <v>9</v>
      </c>
      <c r="B64" s="5" t="s">
        <v>1068</v>
      </c>
    </row>
    <row r="66" spans="1:2" x14ac:dyDescent="0.2">
      <c r="A66" t="s">
        <v>0</v>
      </c>
      <c r="B66" s="5">
        <v>9</v>
      </c>
    </row>
    <row r="67" spans="1:2" x14ac:dyDescent="0.2">
      <c r="A67" t="s">
        <v>1</v>
      </c>
      <c r="B67" s="5" t="s">
        <v>1069</v>
      </c>
    </row>
    <row r="68" spans="1:2" x14ac:dyDescent="0.2">
      <c r="A68" t="s">
        <v>3</v>
      </c>
      <c r="B68" s="5">
        <v>3548</v>
      </c>
    </row>
    <row r="69" spans="1:2" x14ac:dyDescent="0.2">
      <c r="A69" t="s">
        <v>4</v>
      </c>
      <c r="B69" s="5">
        <v>4.7</v>
      </c>
    </row>
    <row r="70" spans="1:2" x14ac:dyDescent="0.2">
      <c r="A70" t="s">
        <v>5</v>
      </c>
      <c r="B70" s="5" t="s">
        <v>1070</v>
      </c>
    </row>
    <row r="71" spans="1:2" x14ac:dyDescent="0.2">
      <c r="A71" t="s">
        <v>7</v>
      </c>
      <c r="B71" s="5" t="s">
        <v>688</v>
      </c>
    </row>
    <row r="72" spans="1:2" s="3" customFormat="1" x14ac:dyDescent="0.2">
      <c r="A72" s="3" t="s">
        <v>9</v>
      </c>
      <c r="B72" s="11" t="s">
        <v>1071</v>
      </c>
    </row>
    <row r="73" spans="1:2" s="3" customFormat="1" x14ac:dyDescent="0.2">
      <c r="B73" s="11"/>
    </row>
    <row r="74" spans="1:2" s="3" customFormat="1" x14ac:dyDescent="0.2">
      <c r="A74" s="3" t="s">
        <v>0</v>
      </c>
      <c r="B74" s="11">
        <v>10</v>
      </c>
    </row>
    <row r="75" spans="1:2" s="3" customFormat="1" x14ac:dyDescent="0.2">
      <c r="A75" s="3" t="s">
        <v>1</v>
      </c>
      <c r="B75" s="11" t="s">
        <v>1072</v>
      </c>
    </row>
    <row r="76" spans="1:2" s="3" customFormat="1" x14ac:dyDescent="0.2">
      <c r="A76" s="3" t="s">
        <v>3</v>
      </c>
      <c r="B76" s="11">
        <v>3319</v>
      </c>
    </row>
    <row r="77" spans="1:2" s="3" customFormat="1" x14ac:dyDescent="0.2">
      <c r="A77" s="3" t="s">
        <v>4</v>
      </c>
      <c r="B77" s="11">
        <v>4.7</v>
      </c>
    </row>
    <row r="78" spans="1:2" s="3" customFormat="1" x14ac:dyDescent="0.2">
      <c r="A78" s="3" t="s">
        <v>5</v>
      </c>
      <c r="B78" s="11" t="s">
        <v>1073</v>
      </c>
    </row>
    <row r="79" spans="1:2" x14ac:dyDescent="0.2">
      <c r="A79" t="s">
        <v>7</v>
      </c>
      <c r="B79" s="5" t="s">
        <v>798</v>
      </c>
    </row>
    <row r="80" spans="1:2" x14ac:dyDescent="0.2">
      <c r="A80" t="s">
        <v>9</v>
      </c>
      <c r="B80" s="5" t="s">
        <v>1074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1075</v>
      </c>
    </row>
    <row r="84" spans="1:2" x14ac:dyDescent="0.2">
      <c r="A84" t="s">
        <v>3</v>
      </c>
      <c r="B84" s="5">
        <v>3027</v>
      </c>
    </row>
    <row r="85" spans="1:2" x14ac:dyDescent="0.2">
      <c r="A85" t="s">
        <v>4</v>
      </c>
      <c r="B85" s="5">
        <v>4.5999999999999996</v>
      </c>
    </row>
    <row r="86" spans="1:2" x14ac:dyDescent="0.2">
      <c r="A86" t="s">
        <v>5</v>
      </c>
      <c r="B86" s="5" t="s">
        <v>1076</v>
      </c>
    </row>
    <row r="87" spans="1:2" x14ac:dyDescent="0.2">
      <c r="A87" t="s">
        <v>7</v>
      </c>
      <c r="B87" s="5" t="s">
        <v>696</v>
      </c>
    </row>
    <row r="88" spans="1:2" x14ac:dyDescent="0.2">
      <c r="A88" t="s">
        <v>9</v>
      </c>
      <c r="B88" s="5" t="s">
        <v>1077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1078</v>
      </c>
    </row>
    <row r="92" spans="1:2" x14ac:dyDescent="0.2">
      <c r="A92" t="s">
        <v>3</v>
      </c>
      <c r="B92" s="5">
        <v>2835</v>
      </c>
    </row>
    <row r="93" spans="1:2" x14ac:dyDescent="0.2">
      <c r="A93" t="s">
        <v>4</v>
      </c>
      <c r="B93" s="5">
        <v>4.5999999999999996</v>
      </c>
    </row>
    <row r="94" spans="1:2" x14ac:dyDescent="0.2">
      <c r="A94" t="s">
        <v>5</v>
      </c>
      <c r="B94" s="5" t="s">
        <v>528</v>
      </c>
    </row>
    <row r="95" spans="1:2" x14ac:dyDescent="0.2">
      <c r="A95" t="s">
        <v>7</v>
      </c>
      <c r="B95" s="5" t="s">
        <v>1079</v>
      </c>
    </row>
    <row r="96" spans="1:2" x14ac:dyDescent="0.2">
      <c r="A96" t="s">
        <v>9</v>
      </c>
      <c r="B96" s="5" t="s">
        <v>1080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1081</v>
      </c>
    </row>
    <row r="100" spans="1:2" x14ac:dyDescent="0.2">
      <c r="A100" t="s">
        <v>3</v>
      </c>
      <c r="B100" s="5">
        <v>2374</v>
      </c>
    </row>
    <row r="101" spans="1:2" x14ac:dyDescent="0.2">
      <c r="A101" t="s">
        <v>4</v>
      </c>
      <c r="B101" s="5">
        <v>4.5999999999999996</v>
      </c>
    </row>
    <row r="102" spans="1:2" x14ac:dyDescent="0.2">
      <c r="A102" t="s">
        <v>5</v>
      </c>
      <c r="B102" s="5" t="s">
        <v>1082</v>
      </c>
    </row>
    <row r="103" spans="1:2" x14ac:dyDescent="0.2">
      <c r="A103" t="s">
        <v>7</v>
      </c>
      <c r="B103" s="5" t="s">
        <v>700</v>
      </c>
    </row>
    <row r="104" spans="1:2" x14ac:dyDescent="0.2">
      <c r="A104" t="s">
        <v>9</v>
      </c>
      <c r="B104" s="5" t="s">
        <v>1083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1084</v>
      </c>
    </row>
    <row r="108" spans="1:2" x14ac:dyDescent="0.2">
      <c r="A108" t="s">
        <v>3</v>
      </c>
      <c r="B108" s="5">
        <v>2341</v>
      </c>
    </row>
    <row r="109" spans="1:2" x14ac:dyDescent="0.2">
      <c r="A109" t="s">
        <v>4</v>
      </c>
      <c r="B109" s="5">
        <v>4.5999999999999996</v>
      </c>
    </row>
    <row r="110" spans="1:2" x14ac:dyDescent="0.2">
      <c r="A110" t="s">
        <v>5</v>
      </c>
      <c r="B110" s="5" t="s">
        <v>1085</v>
      </c>
    </row>
    <row r="111" spans="1:2" x14ac:dyDescent="0.2">
      <c r="A111" t="s">
        <v>7</v>
      </c>
      <c r="B111" s="5" t="s">
        <v>1086</v>
      </c>
    </row>
    <row r="112" spans="1:2" x14ac:dyDescent="0.2">
      <c r="A112" t="s">
        <v>9</v>
      </c>
      <c r="B112" s="5" t="s">
        <v>1087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1088</v>
      </c>
    </row>
    <row r="116" spans="1:2" x14ac:dyDescent="0.2">
      <c r="A116" t="s">
        <v>3</v>
      </c>
      <c r="B116" s="5">
        <v>2233</v>
      </c>
    </row>
    <row r="117" spans="1:2" x14ac:dyDescent="0.2">
      <c r="A117" t="s">
        <v>4</v>
      </c>
      <c r="B117" s="5">
        <v>4.8</v>
      </c>
    </row>
    <row r="118" spans="1:2" x14ac:dyDescent="0.2">
      <c r="A118" t="s">
        <v>5</v>
      </c>
      <c r="B118" s="5" t="s">
        <v>614</v>
      </c>
    </row>
    <row r="119" spans="1:2" x14ac:dyDescent="0.2">
      <c r="A119" t="s">
        <v>7</v>
      </c>
      <c r="B119" s="5" t="s">
        <v>746</v>
      </c>
    </row>
    <row r="120" spans="1:2" x14ac:dyDescent="0.2">
      <c r="A120" t="s">
        <v>9</v>
      </c>
      <c r="B120" s="5" t="s">
        <v>1089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1090</v>
      </c>
    </row>
    <row r="124" spans="1:2" x14ac:dyDescent="0.2">
      <c r="A124" t="s">
        <v>3</v>
      </c>
      <c r="B124" s="5">
        <v>2231</v>
      </c>
    </row>
    <row r="125" spans="1:2" x14ac:dyDescent="0.2">
      <c r="A125" t="s">
        <v>4</v>
      </c>
      <c r="B125" s="5">
        <v>4.7</v>
      </c>
    </row>
    <row r="126" spans="1:2" x14ac:dyDescent="0.2">
      <c r="A126" t="s">
        <v>5</v>
      </c>
      <c r="B126" s="5" t="s">
        <v>216</v>
      </c>
    </row>
    <row r="127" spans="1:2" x14ac:dyDescent="0.2">
      <c r="A127" t="s">
        <v>7</v>
      </c>
      <c r="B127" s="5" t="s">
        <v>681</v>
      </c>
    </row>
    <row r="128" spans="1:2" x14ac:dyDescent="0.2">
      <c r="A128" t="s">
        <v>9</v>
      </c>
      <c r="B128" s="5" t="s">
        <v>1091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1092</v>
      </c>
    </row>
    <row r="132" spans="1:2" x14ac:dyDescent="0.2">
      <c r="A132" t="s">
        <v>3</v>
      </c>
      <c r="B132" s="5">
        <v>2122</v>
      </c>
    </row>
    <row r="133" spans="1:2" x14ac:dyDescent="0.2">
      <c r="A133" t="s">
        <v>4</v>
      </c>
      <c r="B133" s="5">
        <v>4.7</v>
      </c>
    </row>
    <row r="134" spans="1:2" x14ac:dyDescent="0.2">
      <c r="A134" t="s">
        <v>5</v>
      </c>
      <c r="B134" s="5" t="s">
        <v>1093</v>
      </c>
    </row>
    <row r="135" spans="1:2" x14ac:dyDescent="0.2">
      <c r="A135" t="s">
        <v>7</v>
      </c>
      <c r="B135" s="5" t="s">
        <v>1094</v>
      </c>
    </row>
    <row r="136" spans="1:2" x14ac:dyDescent="0.2">
      <c r="A136" t="s">
        <v>9</v>
      </c>
      <c r="B136" s="5" t="s">
        <v>1095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1096</v>
      </c>
    </row>
    <row r="140" spans="1:2" x14ac:dyDescent="0.2">
      <c r="A140" t="s">
        <v>3</v>
      </c>
      <c r="B140" s="5">
        <v>2084</v>
      </c>
    </row>
    <row r="141" spans="1:2" x14ac:dyDescent="0.2">
      <c r="A141" t="s">
        <v>4</v>
      </c>
      <c r="B141" s="5">
        <v>4.7</v>
      </c>
    </row>
    <row r="142" spans="1:2" x14ac:dyDescent="0.2">
      <c r="A142" t="s">
        <v>5</v>
      </c>
      <c r="B142" s="5" t="s">
        <v>1097</v>
      </c>
    </row>
    <row r="143" spans="1:2" x14ac:dyDescent="0.2">
      <c r="A143" t="s">
        <v>7</v>
      </c>
      <c r="B143" s="5" t="s">
        <v>1086</v>
      </c>
    </row>
    <row r="144" spans="1:2" x14ac:dyDescent="0.2">
      <c r="A144" t="s">
        <v>9</v>
      </c>
      <c r="B144" s="5" t="s">
        <v>1098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1099</v>
      </c>
    </row>
    <row r="148" spans="1:2" x14ac:dyDescent="0.2">
      <c r="A148" t="s">
        <v>3</v>
      </c>
      <c r="B148" s="5">
        <v>2046</v>
      </c>
    </row>
    <row r="149" spans="1:2" x14ac:dyDescent="0.2">
      <c r="A149" t="s">
        <v>4</v>
      </c>
      <c r="B149" s="5">
        <v>4.7</v>
      </c>
    </row>
    <row r="150" spans="1:2" x14ac:dyDescent="0.2">
      <c r="A150" t="s">
        <v>5</v>
      </c>
      <c r="B150" s="5" t="s">
        <v>1085</v>
      </c>
    </row>
    <row r="151" spans="1:2" x14ac:dyDescent="0.2">
      <c r="A151" t="s">
        <v>7</v>
      </c>
      <c r="B151" s="5" t="s">
        <v>1086</v>
      </c>
    </row>
    <row r="152" spans="1:2" x14ac:dyDescent="0.2">
      <c r="A152" t="s">
        <v>9</v>
      </c>
      <c r="B152" s="5" t="s">
        <v>1100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1101</v>
      </c>
    </row>
    <row r="156" spans="1:2" x14ac:dyDescent="0.2">
      <c r="A156" t="s">
        <v>3</v>
      </c>
      <c r="B156" s="5">
        <v>2015</v>
      </c>
    </row>
    <row r="157" spans="1:2" x14ac:dyDescent="0.2">
      <c r="A157" t="s">
        <v>4</v>
      </c>
      <c r="B157" s="5">
        <v>4.7</v>
      </c>
    </row>
    <row r="158" spans="1:2" x14ac:dyDescent="0.2">
      <c r="A158" t="s">
        <v>5</v>
      </c>
      <c r="B158" s="5" t="s">
        <v>1102</v>
      </c>
    </row>
    <row r="159" spans="1:2" x14ac:dyDescent="0.2">
      <c r="A159" t="s">
        <v>7</v>
      </c>
      <c r="B159" s="5" t="s">
        <v>1103</v>
      </c>
    </row>
    <row r="160" spans="1:2" x14ac:dyDescent="0.2">
      <c r="A160" t="s">
        <v>9</v>
      </c>
      <c r="B160" s="5" t="s">
        <v>1104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1105</v>
      </c>
    </row>
    <row r="164" spans="1:2" x14ac:dyDescent="0.2">
      <c r="A164" t="s">
        <v>3</v>
      </c>
      <c r="B164" s="5">
        <v>2015</v>
      </c>
    </row>
    <row r="165" spans="1:2" x14ac:dyDescent="0.2">
      <c r="A165" t="s">
        <v>4</v>
      </c>
      <c r="B165" s="5">
        <v>4.7</v>
      </c>
    </row>
    <row r="166" spans="1:2" x14ac:dyDescent="0.2">
      <c r="A166" t="s">
        <v>5</v>
      </c>
      <c r="B166" s="5" t="s">
        <v>190</v>
      </c>
    </row>
    <row r="167" spans="1:2" x14ac:dyDescent="0.2">
      <c r="A167" t="s">
        <v>7</v>
      </c>
      <c r="B167" s="5" t="s">
        <v>688</v>
      </c>
    </row>
    <row r="168" spans="1:2" x14ac:dyDescent="0.2">
      <c r="A168" t="s">
        <v>9</v>
      </c>
      <c r="B168" s="5" t="s">
        <v>1106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1107</v>
      </c>
    </row>
    <row r="172" spans="1:2" x14ac:dyDescent="0.2">
      <c r="A172" t="s">
        <v>3</v>
      </c>
      <c r="B172" s="5">
        <v>1980</v>
      </c>
    </row>
    <row r="173" spans="1:2" x14ac:dyDescent="0.2">
      <c r="A173" t="s">
        <v>4</v>
      </c>
      <c r="B173" s="5">
        <v>4.7</v>
      </c>
    </row>
    <row r="174" spans="1:2" x14ac:dyDescent="0.2">
      <c r="A174" t="s">
        <v>5</v>
      </c>
      <c r="B174" s="5" t="s">
        <v>1108</v>
      </c>
    </row>
    <row r="175" spans="1:2" x14ac:dyDescent="0.2">
      <c r="A175" t="s">
        <v>7</v>
      </c>
      <c r="B175" s="5" t="s">
        <v>1103</v>
      </c>
    </row>
    <row r="176" spans="1:2" x14ac:dyDescent="0.2">
      <c r="A176" t="s">
        <v>9</v>
      </c>
      <c r="B176" s="5" t="s">
        <v>1109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1110</v>
      </c>
    </row>
    <row r="180" spans="1:2" x14ac:dyDescent="0.2">
      <c r="A180" t="s">
        <v>3</v>
      </c>
      <c r="B180" s="5">
        <v>1930</v>
      </c>
    </row>
    <row r="181" spans="1:2" x14ac:dyDescent="0.2">
      <c r="A181" t="s">
        <v>4</v>
      </c>
      <c r="B181" s="5">
        <v>4.5999999999999996</v>
      </c>
    </row>
    <row r="182" spans="1:2" x14ac:dyDescent="0.2">
      <c r="A182" t="s">
        <v>5</v>
      </c>
      <c r="B182" s="5" t="s">
        <v>962</v>
      </c>
    </row>
    <row r="183" spans="1:2" x14ac:dyDescent="0.2">
      <c r="A183" t="s">
        <v>7</v>
      </c>
      <c r="B183" s="5" t="s">
        <v>180</v>
      </c>
    </row>
    <row r="184" spans="1:2" x14ac:dyDescent="0.2">
      <c r="A184" t="s">
        <v>9</v>
      </c>
      <c r="B184" s="5" t="s">
        <v>1111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1112</v>
      </c>
    </row>
    <row r="188" spans="1:2" x14ac:dyDescent="0.2">
      <c r="A188" t="s">
        <v>3</v>
      </c>
      <c r="B188" s="5">
        <v>1882</v>
      </c>
    </row>
    <row r="189" spans="1:2" x14ac:dyDescent="0.2">
      <c r="A189" t="s">
        <v>4</v>
      </c>
      <c r="B189" s="5">
        <v>4.5999999999999996</v>
      </c>
    </row>
    <row r="190" spans="1:2" x14ac:dyDescent="0.2">
      <c r="A190" t="s">
        <v>5</v>
      </c>
      <c r="B190" s="5" t="s">
        <v>190</v>
      </c>
    </row>
    <row r="191" spans="1:2" x14ac:dyDescent="0.2">
      <c r="A191" t="s">
        <v>7</v>
      </c>
      <c r="B191" s="5" t="s">
        <v>746</v>
      </c>
    </row>
    <row r="192" spans="1:2" x14ac:dyDescent="0.2">
      <c r="A192" t="s">
        <v>9</v>
      </c>
      <c r="B192" s="5" t="s">
        <v>1113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1114</v>
      </c>
    </row>
    <row r="196" spans="1:2" x14ac:dyDescent="0.2">
      <c r="A196" t="s">
        <v>3</v>
      </c>
      <c r="B196" s="5">
        <v>1866</v>
      </c>
    </row>
    <row r="197" spans="1:2" x14ac:dyDescent="0.2">
      <c r="A197" t="s">
        <v>4</v>
      </c>
      <c r="B197" s="5">
        <v>4.5999999999999996</v>
      </c>
    </row>
    <row r="198" spans="1:2" x14ac:dyDescent="0.2">
      <c r="A198" t="s">
        <v>5</v>
      </c>
      <c r="B198" s="5" t="s">
        <v>1115</v>
      </c>
    </row>
    <row r="199" spans="1:2" x14ac:dyDescent="0.2">
      <c r="A199" t="s">
        <v>7</v>
      </c>
      <c r="B199" s="5" t="s">
        <v>746</v>
      </c>
    </row>
    <row r="200" spans="1:2" x14ac:dyDescent="0.2">
      <c r="A200" t="s">
        <v>9</v>
      </c>
      <c r="B200" s="5" t="s">
        <v>1116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1117</v>
      </c>
    </row>
    <row r="204" spans="1:2" x14ac:dyDescent="0.2">
      <c r="A204" t="s">
        <v>3</v>
      </c>
      <c r="B204" s="5">
        <v>1859</v>
      </c>
    </row>
    <row r="205" spans="1:2" x14ac:dyDescent="0.2">
      <c r="A205" t="s">
        <v>4</v>
      </c>
      <c r="B205" s="5">
        <v>4.5999999999999996</v>
      </c>
    </row>
    <row r="206" spans="1:2" x14ac:dyDescent="0.2">
      <c r="A206" t="s">
        <v>5</v>
      </c>
      <c r="B206" s="5" t="s">
        <v>1118</v>
      </c>
    </row>
    <row r="207" spans="1:2" x14ac:dyDescent="0.2">
      <c r="A207" t="s">
        <v>7</v>
      </c>
      <c r="B207" s="5" t="s">
        <v>787</v>
      </c>
    </row>
    <row r="208" spans="1:2" x14ac:dyDescent="0.2">
      <c r="A208" t="s">
        <v>9</v>
      </c>
      <c r="B208" s="5" t="s">
        <v>1119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1120</v>
      </c>
    </row>
    <row r="212" spans="1:2" x14ac:dyDescent="0.2">
      <c r="A212" t="s">
        <v>3</v>
      </c>
      <c r="B212" s="5">
        <v>1858</v>
      </c>
    </row>
    <row r="213" spans="1:2" x14ac:dyDescent="0.2">
      <c r="A213" t="s">
        <v>4</v>
      </c>
      <c r="B213" s="5">
        <v>5</v>
      </c>
    </row>
    <row r="214" spans="1:2" x14ac:dyDescent="0.2">
      <c r="A214" t="s">
        <v>5</v>
      </c>
      <c r="B214" s="5" t="s">
        <v>1121</v>
      </c>
    </row>
    <row r="215" spans="1:2" x14ac:dyDescent="0.2">
      <c r="A215" t="s">
        <v>7</v>
      </c>
      <c r="B215" s="5" t="s">
        <v>56</v>
      </c>
    </row>
    <row r="216" spans="1:2" x14ac:dyDescent="0.2">
      <c r="A216" t="s">
        <v>9</v>
      </c>
      <c r="B216" s="5" t="s">
        <v>1122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1123</v>
      </c>
    </row>
    <row r="220" spans="1:2" x14ac:dyDescent="0.2">
      <c r="A220" t="s">
        <v>3</v>
      </c>
      <c r="B220" s="5">
        <v>1809</v>
      </c>
    </row>
    <row r="221" spans="1:2" x14ac:dyDescent="0.2">
      <c r="A221" t="s">
        <v>4</v>
      </c>
      <c r="B221" s="5">
        <v>4.8</v>
      </c>
    </row>
    <row r="222" spans="1:2" x14ac:dyDescent="0.2">
      <c r="A222" t="s">
        <v>5</v>
      </c>
      <c r="B222" s="5" t="s">
        <v>1124</v>
      </c>
    </row>
    <row r="223" spans="1:2" x14ac:dyDescent="0.2">
      <c r="A223" t="s">
        <v>7</v>
      </c>
      <c r="B223" s="5" t="s">
        <v>1049</v>
      </c>
    </row>
    <row r="224" spans="1:2" x14ac:dyDescent="0.2">
      <c r="A224" t="s">
        <v>9</v>
      </c>
      <c r="B224" s="5" t="s">
        <v>1125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1126</v>
      </c>
    </row>
    <row r="228" spans="1:2" x14ac:dyDescent="0.2">
      <c r="A228" t="s">
        <v>3</v>
      </c>
      <c r="B228" s="5">
        <v>1708</v>
      </c>
    </row>
    <row r="229" spans="1:2" x14ac:dyDescent="0.2">
      <c r="A229" t="s">
        <v>4</v>
      </c>
      <c r="B229" s="5">
        <v>4.5</v>
      </c>
    </row>
    <row r="230" spans="1:2" x14ac:dyDescent="0.2">
      <c r="A230" t="s">
        <v>5</v>
      </c>
      <c r="B230" s="5" t="s">
        <v>980</v>
      </c>
    </row>
    <row r="231" spans="1:2" x14ac:dyDescent="0.2">
      <c r="A231" t="s">
        <v>7</v>
      </c>
      <c r="B231" s="5" t="s">
        <v>746</v>
      </c>
    </row>
    <row r="232" spans="1:2" x14ac:dyDescent="0.2">
      <c r="A232" t="s">
        <v>9</v>
      </c>
      <c r="B232" s="5" t="s">
        <v>1127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1128</v>
      </c>
    </row>
    <row r="236" spans="1:2" x14ac:dyDescent="0.2">
      <c r="A236" t="s">
        <v>3</v>
      </c>
      <c r="B236" s="5">
        <v>1692</v>
      </c>
    </row>
    <row r="237" spans="1:2" x14ac:dyDescent="0.2">
      <c r="A237" t="s">
        <v>4</v>
      </c>
      <c r="B237" s="5">
        <v>4.5999999999999996</v>
      </c>
    </row>
    <row r="238" spans="1:2" x14ac:dyDescent="0.2">
      <c r="A238" t="s">
        <v>5</v>
      </c>
      <c r="B238" s="5" t="s">
        <v>1129</v>
      </c>
    </row>
    <row r="239" spans="1:2" x14ac:dyDescent="0.2">
      <c r="A239" t="s">
        <v>7</v>
      </c>
      <c r="B239" s="5" t="s">
        <v>746</v>
      </c>
    </row>
    <row r="240" spans="1:2" x14ac:dyDescent="0.2">
      <c r="A240" t="s">
        <v>9</v>
      </c>
      <c r="B240" s="5" t="s">
        <v>1130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1131</v>
      </c>
    </row>
    <row r="244" spans="1:2" x14ac:dyDescent="0.2">
      <c r="A244" t="s">
        <v>3</v>
      </c>
      <c r="B244" s="5">
        <v>1655</v>
      </c>
    </row>
    <row r="245" spans="1:2" x14ac:dyDescent="0.2">
      <c r="A245" t="s">
        <v>4</v>
      </c>
      <c r="B245" s="5">
        <v>4.7</v>
      </c>
    </row>
    <row r="246" spans="1:2" x14ac:dyDescent="0.2">
      <c r="A246" t="s">
        <v>5</v>
      </c>
      <c r="B246" s="5" t="s">
        <v>1085</v>
      </c>
    </row>
    <row r="247" spans="1:2" x14ac:dyDescent="0.2">
      <c r="A247" t="s">
        <v>7</v>
      </c>
      <c r="B247" s="5" t="s">
        <v>1086</v>
      </c>
    </row>
    <row r="248" spans="1:2" x14ac:dyDescent="0.2">
      <c r="A248" t="s">
        <v>9</v>
      </c>
      <c r="B248" s="5" t="s">
        <v>1132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1133</v>
      </c>
    </row>
    <row r="252" spans="1:2" x14ac:dyDescent="0.2">
      <c r="A252" t="s">
        <v>3</v>
      </c>
      <c r="B252" s="5">
        <v>1636</v>
      </c>
    </row>
    <row r="253" spans="1:2" x14ac:dyDescent="0.2">
      <c r="A253" t="s">
        <v>4</v>
      </c>
      <c r="B253" s="5">
        <v>4.3</v>
      </c>
    </row>
    <row r="254" spans="1:2" x14ac:dyDescent="0.2">
      <c r="A254" t="s">
        <v>5</v>
      </c>
      <c r="B254" s="5" t="s">
        <v>1134</v>
      </c>
    </row>
    <row r="255" spans="1:2" x14ac:dyDescent="0.2">
      <c r="A255" t="s">
        <v>7</v>
      </c>
      <c r="B255" s="5" t="s">
        <v>746</v>
      </c>
    </row>
    <row r="256" spans="1:2" x14ac:dyDescent="0.2">
      <c r="A256" t="s">
        <v>9</v>
      </c>
      <c r="B256" s="5" t="s">
        <v>1135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1136</v>
      </c>
    </row>
    <row r="260" spans="1:2" x14ac:dyDescent="0.2">
      <c r="A260" t="s">
        <v>3</v>
      </c>
      <c r="B260" s="5">
        <v>1630</v>
      </c>
    </row>
    <row r="261" spans="1:2" x14ac:dyDescent="0.2">
      <c r="A261" t="s">
        <v>4</v>
      </c>
      <c r="B261" s="5">
        <v>4.5999999999999996</v>
      </c>
    </row>
    <row r="262" spans="1:2" x14ac:dyDescent="0.2">
      <c r="A262" t="s">
        <v>5</v>
      </c>
      <c r="B262" s="5" t="s">
        <v>1137</v>
      </c>
    </row>
    <row r="263" spans="1:2" x14ac:dyDescent="0.2">
      <c r="A263" t="s">
        <v>7</v>
      </c>
      <c r="B263" s="5" t="s">
        <v>1103</v>
      </c>
    </row>
    <row r="264" spans="1:2" x14ac:dyDescent="0.2">
      <c r="A264" t="s">
        <v>9</v>
      </c>
      <c r="B264" s="5" t="s">
        <v>1138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1139</v>
      </c>
    </row>
    <row r="268" spans="1:2" x14ac:dyDescent="0.2">
      <c r="A268" t="s">
        <v>3</v>
      </c>
      <c r="B268" s="5">
        <v>1612</v>
      </c>
    </row>
    <row r="269" spans="1:2" x14ac:dyDescent="0.2">
      <c r="A269" t="s">
        <v>4</v>
      </c>
      <c r="B269" s="5">
        <v>4.5</v>
      </c>
    </row>
    <row r="270" spans="1:2" x14ac:dyDescent="0.2">
      <c r="A270" t="s">
        <v>5</v>
      </c>
      <c r="B270" s="5" t="s">
        <v>1140</v>
      </c>
    </row>
    <row r="271" spans="1:2" x14ac:dyDescent="0.2">
      <c r="A271" t="s">
        <v>7</v>
      </c>
      <c r="B271" s="5" t="s">
        <v>746</v>
      </c>
    </row>
    <row r="272" spans="1:2" x14ac:dyDescent="0.2">
      <c r="A272" t="s">
        <v>9</v>
      </c>
      <c r="B272" s="5" t="s">
        <v>1068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1141</v>
      </c>
    </row>
    <row r="276" spans="1:2" x14ac:dyDescent="0.2">
      <c r="A276" t="s">
        <v>3</v>
      </c>
      <c r="B276" s="5">
        <v>1561</v>
      </c>
    </row>
    <row r="277" spans="1:2" x14ac:dyDescent="0.2">
      <c r="A277" t="s">
        <v>4</v>
      </c>
      <c r="B277" s="5">
        <v>4.7</v>
      </c>
    </row>
    <row r="278" spans="1:2" x14ac:dyDescent="0.2">
      <c r="A278" t="s">
        <v>5</v>
      </c>
      <c r="B278" s="5" t="s">
        <v>1142</v>
      </c>
    </row>
    <row r="279" spans="1:2" x14ac:dyDescent="0.2">
      <c r="A279" t="s">
        <v>7</v>
      </c>
      <c r="B279" s="5" t="s">
        <v>1103</v>
      </c>
    </row>
    <row r="280" spans="1:2" x14ac:dyDescent="0.2">
      <c r="A280" t="s">
        <v>9</v>
      </c>
      <c r="B280" s="5" t="s">
        <v>1143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1144</v>
      </c>
    </row>
    <row r="284" spans="1:2" x14ac:dyDescent="0.2">
      <c r="A284" t="s">
        <v>3</v>
      </c>
      <c r="B284" s="5">
        <v>1554</v>
      </c>
    </row>
    <row r="285" spans="1:2" x14ac:dyDescent="0.2">
      <c r="A285" t="s">
        <v>4</v>
      </c>
      <c r="B285" s="5">
        <v>4.8</v>
      </c>
    </row>
    <row r="286" spans="1:2" x14ac:dyDescent="0.2">
      <c r="A286" t="s">
        <v>5</v>
      </c>
      <c r="B286" s="5" t="s">
        <v>1145</v>
      </c>
    </row>
    <row r="287" spans="1:2" x14ac:dyDescent="0.2">
      <c r="A287" t="s">
        <v>7</v>
      </c>
      <c r="B287" s="5" t="s">
        <v>1028</v>
      </c>
    </row>
    <row r="288" spans="1:2" x14ac:dyDescent="0.2">
      <c r="A288" t="s">
        <v>9</v>
      </c>
      <c r="B288" s="5" t="s">
        <v>1146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1147</v>
      </c>
    </row>
    <row r="292" spans="1:2" x14ac:dyDescent="0.2">
      <c r="A292" t="s">
        <v>3</v>
      </c>
      <c r="B292" s="5">
        <v>1533</v>
      </c>
    </row>
    <row r="293" spans="1:2" x14ac:dyDescent="0.2">
      <c r="A293" t="s">
        <v>4</v>
      </c>
      <c r="B293" s="5">
        <v>4.5999999999999996</v>
      </c>
    </row>
    <row r="294" spans="1:2" x14ac:dyDescent="0.2">
      <c r="A294" t="s">
        <v>5</v>
      </c>
      <c r="B294" s="5" t="s">
        <v>1148</v>
      </c>
    </row>
    <row r="295" spans="1:2" x14ac:dyDescent="0.2">
      <c r="A295" t="s">
        <v>7</v>
      </c>
      <c r="B295" s="5" t="s">
        <v>688</v>
      </c>
    </row>
    <row r="296" spans="1:2" x14ac:dyDescent="0.2">
      <c r="A296" t="s">
        <v>9</v>
      </c>
      <c r="B296" s="5" t="s">
        <v>1149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1150</v>
      </c>
    </row>
    <row r="300" spans="1:2" x14ac:dyDescent="0.2">
      <c r="A300" t="s">
        <v>3</v>
      </c>
      <c r="B300" s="5">
        <v>1440</v>
      </c>
    </row>
    <row r="301" spans="1:2" x14ac:dyDescent="0.2">
      <c r="A301" t="s">
        <v>4</v>
      </c>
      <c r="B301" s="5">
        <v>4.5</v>
      </c>
    </row>
    <row r="302" spans="1:2" x14ac:dyDescent="0.2">
      <c r="A302" t="s">
        <v>5</v>
      </c>
      <c r="B302" s="5" t="s">
        <v>1151</v>
      </c>
    </row>
    <row r="303" spans="1:2" x14ac:dyDescent="0.2">
      <c r="A303" t="s">
        <v>7</v>
      </c>
      <c r="B303" s="5" t="s">
        <v>681</v>
      </c>
    </row>
    <row r="304" spans="1:2" x14ac:dyDescent="0.2">
      <c r="A304" t="s">
        <v>9</v>
      </c>
      <c r="B304" s="5" t="s">
        <v>1152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1153</v>
      </c>
    </row>
    <row r="308" spans="1:2" x14ac:dyDescent="0.2">
      <c r="A308" t="s">
        <v>3</v>
      </c>
      <c r="B308" s="5">
        <v>1431</v>
      </c>
    </row>
    <row r="309" spans="1:2" x14ac:dyDescent="0.2">
      <c r="A309" t="s">
        <v>4</v>
      </c>
      <c r="B309" s="5">
        <v>4.5999999999999996</v>
      </c>
    </row>
    <row r="310" spans="1:2" x14ac:dyDescent="0.2">
      <c r="A310" t="s">
        <v>5</v>
      </c>
      <c r="B310" s="5" t="s">
        <v>1154</v>
      </c>
    </row>
    <row r="311" spans="1:2" x14ac:dyDescent="0.2">
      <c r="A311" t="s">
        <v>7</v>
      </c>
      <c r="B311" s="5" t="s">
        <v>688</v>
      </c>
    </row>
    <row r="312" spans="1:2" x14ac:dyDescent="0.2">
      <c r="A312" t="s">
        <v>9</v>
      </c>
      <c r="B312" s="5" t="s">
        <v>1155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1156</v>
      </c>
    </row>
    <row r="316" spans="1:2" x14ac:dyDescent="0.2">
      <c r="A316" t="s">
        <v>3</v>
      </c>
      <c r="B316" s="5">
        <v>1429</v>
      </c>
    </row>
    <row r="317" spans="1:2" x14ac:dyDescent="0.2">
      <c r="A317" t="s">
        <v>4</v>
      </c>
      <c r="B317" s="5">
        <v>4.5</v>
      </c>
    </row>
    <row r="318" spans="1:2" x14ac:dyDescent="0.2">
      <c r="A318" t="s">
        <v>5</v>
      </c>
      <c r="B318" s="5" t="s">
        <v>1157</v>
      </c>
    </row>
    <row r="319" spans="1:2" x14ac:dyDescent="0.2">
      <c r="A319" t="s">
        <v>7</v>
      </c>
      <c r="B319" s="5" t="s">
        <v>180</v>
      </c>
    </row>
    <row r="320" spans="1:2" x14ac:dyDescent="0.2">
      <c r="A320" t="s">
        <v>9</v>
      </c>
      <c r="B320" s="5" t="s">
        <v>1158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97F26-4F41-43CC-88DC-D9264A0AAA53}">
  <sheetPr codeName="Sheet15">
    <tabColor rgb="FFFFFF00"/>
  </sheetPr>
  <dimension ref="A1:L320"/>
  <sheetViews>
    <sheetView zoomScaleNormal="100" workbookViewId="0">
      <selection activeCell="B1" sqref="B1:B1048576"/>
    </sheetView>
  </sheetViews>
  <sheetFormatPr defaultRowHeight="14.25" x14ac:dyDescent="0.2"/>
  <cols>
    <col min="1" max="1" width="11" bestFit="1" customWidth="1"/>
    <col min="2" max="2" width="7.125" style="5" bestFit="1" customWidth="1"/>
    <col min="3" max="4" width="5.25" bestFit="1" customWidth="1"/>
    <col min="5" max="5" width="5.875" bestFit="1" customWidth="1"/>
    <col min="6" max="7" width="5.25" bestFit="1" customWidth="1"/>
  </cols>
  <sheetData>
    <row r="1" spans="1:2" ht="15" thickBot="1" x14ac:dyDescent="0.25">
      <c r="A1" s="10" t="str">
        <f>HYPERLINK(INDEX(获取工作表名,1)&amp;"!"&amp;MATCH("宁夏银川店",汇总!B:B,0),"宁夏银川店")</f>
        <v>宁夏银川店</v>
      </c>
      <c r="B1" s="5">
        <v>181003</v>
      </c>
    </row>
    <row r="2" spans="1:2" x14ac:dyDescent="0.2">
      <c r="A2" t="s">
        <v>0</v>
      </c>
      <c r="B2" s="5">
        <v>1</v>
      </c>
    </row>
    <row r="3" spans="1:2" x14ac:dyDescent="0.2">
      <c r="A3" t="s">
        <v>1</v>
      </c>
      <c r="B3" s="5" t="s">
        <v>1159</v>
      </c>
    </row>
    <row r="4" spans="1:2" x14ac:dyDescent="0.2">
      <c r="A4" t="s">
        <v>3</v>
      </c>
      <c r="B4" s="5">
        <v>6126</v>
      </c>
    </row>
    <row r="5" spans="1:2" x14ac:dyDescent="0.2">
      <c r="A5" t="s">
        <v>4</v>
      </c>
      <c r="B5" s="5">
        <v>4.7</v>
      </c>
    </row>
    <row r="6" spans="1:2" x14ac:dyDescent="0.2">
      <c r="A6" t="s">
        <v>5</v>
      </c>
      <c r="B6" s="5" t="s">
        <v>1160</v>
      </c>
    </row>
    <row r="7" spans="1:2" x14ac:dyDescent="0.2">
      <c r="A7" t="s">
        <v>7</v>
      </c>
      <c r="B7" s="5" t="s">
        <v>770</v>
      </c>
    </row>
    <row r="8" spans="1:2" x14ac:dyDescent="0.2">
      <c r="A8" t="s">
        <v>9</v>
      </c>
      <c r="B8" s="5" t="s">
        <v>1161</v>
      </c>
    </row>
    <row r="10" spans="1:2" x14ac:dyDescent="0.2">
      <c r="A10" t="s">
        <v>0</v>
      </c>
      <c r="B10" s="5">
        <v>2</v>
      </c>
    </row>
    <row r="11" spans="1:2" x14ac:dyDescent="0.2">
      <c r="A11" t="s">
        <v>1</v>
      </c>
      <c r="B11" s="5" t="s">
        <v>1162</v>
      </c>
    </row>
    <row r="12" spans="1:2" x14ac:dyDescent="0.2">
      <c r="A12" t="s">
        <v>3</v>
      </c>
      <c r="B12" s="5">
        <v>5544</v>
      </c>
    </row>
    <row r="13" spans="1:2" x14ac:dyDescent="0.2">
      <c r="A13" t="s">
        <v>4</v>
      </c>
      <c r="B13" s="5">
        <v>4.5999999999999996</v>
      </c>
    </row>
    <row r="14" spans="1:2" x14ac:dyDescent="0.2">
      <c r="A14" t="s">
        <v>5</v>
      </c>
      <c r="B14" s="5" t="s">
        <v>301</v>
      </c>
    </row>
    <row r="15" spans="1:2" x14ac:dyDescent="0.2">
      <c r="A15" t="s">
        <v>7</v>
      </c>
      <c r="B15" s="5" t="s">
        <v>752</v>
      </c>
    </row>
    <row r="16" spans="1:2" x14ac:dyDescent="0.2">
      <c r="A16" t="s">
        <v>9</v>
      </c>
      <c r="B16" s="5" t="s">
        <v>1163</v>
      </c>
    </row>
    <row r="18" spans="1:2" x14ac:dyDescent="0.2">
      <c r="A18" t="s">
        <v>0</v>
      </c>
      <c r="B18" s="5">
        <v>3</v>
      </c>
    </row>
    <row r="19" spans="1:2" x14ac:dyDescent="0.2">
      <c r="A19" t="s">
        <v>1</v>
      </c>
      <c r="B19" s="5" t="s">
        <v>1164</v>
      </c>
    </row>
    <row r="20" spans="1:2" x14ac:dyDescent="0.2">
      <c r="A20" t="s">
        <v>3</v>
      </c>
      <c r="B20" s="5">
        <v>5032</v>
      </c>
    </row>
    <row r="21" spans="1:2" x14ac:dyDescent="0.2">
      <c r="A21" t="s">
        <v>4</v>
      </c>
      <c r="B21" s="5">
        <v>4.5999999999999996</v>
      </c>
    </row>
    <row r="22" spans="1:2" x14ac:dyDescent="0.2">
      <c r="A22" t="s">
        <v>5</v>
      </c>
      <c r="B22" s="5" t="s">
        <v>197</v>
      </c>
    </row>
    <row r="23" spans="1:2" x14ac:dyDescent="0.2">
      <c r="A23" t="s">
        <v>7</v>
      </c>
      <c r="B23" s="5" t="s">
        <v>688</v>
      </c>
    </row>
    <row r="24" spans="1:2" x14ac:dyDescent="0.2">
      <c r="A24" t="s">
        <v>9</v>
      </c>
      <c r="B24" s="5" t="s">
        <v>1165</v>
      </c>
    </row>
    <row r="26" spans="1:2" x14ac:dyDescent="0.2">
      <c r="A26" t="s">
        <v>0</v>
      </c>
      <c r="B26" s="5">
        <v>4</v>
      </c>
    </row>
    <row r="27" spans="1:2" x14ac:dyDescent="0.2">
      <c r="A27" t="s">
        <v>1</v>
      </c>
      <c r="B27" s="5" t="s">
        <v>1166</v>
      </c>
    </row>
    <row r="28" spans="1:2" x14ac:dyDescent="0.2">
      <c r="A28" t="s">
        <v>3</v>
      </c>
      <c r="B28" s="5">
        <v>4496</v>
      </c>
    </row>
    <row r="29" spans="1:2" x14ac:dyDescent="0.2">
      <c r="A29" t="s">
        <v>4</v>
      </c>
      <c r="B29" s="5">
        <v>4.7</v>
      </c>
    </row>
    <row r="30" spans="1:2" x14ac:dyDescent="0.2">
      <c r="A30" t="s">
        <v>5</v>
      </c>
      <c r="B30" s="5" t="s">
        <v>625</v>
      </c>
    </row>
    <row r="31" spans="1:2" x14ac:dyDescent="0.2">
      <c r="A31" t="s">
        <v>7</v>
      </c>
      <c r="B31" s="5" t="s">
        <v>1028</v>
      </c>
    </row>
    <row r="32" spans="1:2" x14ac:dyDescent="0.2">
      <c r="A32" t="s">
        <v>9</v>
      </c>
      <c r="B32" s="5" t="s">
        <v>1167</v>
      </c>
    </row>
    <row r="34" spans="1:2" x14ac:dyDescent="0.2">
      <c r="A34" t="s">
        <v>0</v>
      </c>
      <c r="B34" s="5">
        <v>5</v>
      </c>
    </row>
    <row r="35" spans="1:2" x14ac:dyDescent="0.2">
      <c r="A35" t="s">
        <v>1</v>
      </c>
      <c r="B35" s="5" t="s">
        <v>1168</v>
      </c>
    </row>
    <row r="36" spans="1:2" x14ac:dyDescent="0.2">
      <c r="A36" t="s">
        <v>3</v>
      </c>
      <c r="B36" s="5">
        <v>3294</v>
      </c>
    </row>
    <row r="37" spans="1:2" x14ac:dyDescent="0.2">
      <c r="A37" t="s">
        <v>4</v>
      </c>
      <c r="B37" s="5">
        <v>4.5999999999999996</v>
      </c>
    </row>
    <row r="38" spans="1:2" x14ac:dyDescent="0.2">
      <c r="A38" t="s">
        <v>5</v>
      </c>
      <c r="B38" s="5" t="s">
        <v>1169</v>
      </c>
    </row>
    <row r="39" spans="1:2" x14ac:dyDescent="0.2">
      <c r="A39" t="s">
        <v>7</v>
      </c>
      <c r="B39" s="5" t="s">
        <v>1086</v>
      </c>
    </row>
    <row r="40" spans="1:2" x14ac:dyDescent="0.2">
      <c r="A40" t="s">
        <v>9</v>
      </c>
      <c r="B40" s="5" t="s">
        <v>1170</v>
      </c>
    </row>
    <row r="42" spans="1:2" x14ac:dyDescent="0.2">
      <c r="A42" t="s">
        <v>0</v>
      </c>
      <c r="B42" s="5">
        <v>6</v>
      </c>
    </row>
    <row r="43" spans="1:2" x14ac:dyDescent="0.2">
      <c r="A43" t="s">
        <v>1</v>
      </c>
      <c r="B43" s="5" t="s">
        <v>1171</v>
      </c>
    </row>
    <row r="44" spans="1:2" x14ac:dyDescent="0.2">
      <c r="A44" t="s">
        <v>3</v>
      </c>
      <c r="B44" s="5">
        <v>3225</v>
      </c>
    </row>
    <row r="45" spans="1:2" x14ac:dyDescent="0.2">
      <c r="A45" t="s">
        <v>4</v>
      </c>
      <c r="B45" s="5">
        <v>4.5999999999999996</v>
      </c>
    </row>
    <row r="46" spans="1:2" x14ac:dyDescent="0.2">
      <c r="A46" t="s">
        <v>5</v>
      </c>
      <c r="B46" s="5" t="s">
        <v>265</v>
      </c>
    </row>
    <row r="47" spans="1:2" x14ac:dyDescent="0.2">
      <c r="A47" t="s">
        <v>7</v>
      </c>
      <c r="B47" s="5" t="s">
        <v>1079</v>
      </c>
    </row>
    <row r="48" spans="1:2" x14ac:dyDescent="0.2">
      <c r="A48" t="s">
        <v>9</v>
      </c>
      <c r="B48" s="5" t="s">
        <v>1172</v>
      </c>
    </row>
    <row r="50" spans="1:2" x14ac:dyDescent="0.2">
      <c r="A50" t="s">
        <v>0</v>
      </c>
      <c r="B50" s="5">
        <v>7</v>
      </c>
    </row>
    <row r="51" spans="1:2" x14ac:dyDescent="0.2">
      <c r="A51" t="s">
        <v>1</v>
      </c>
      <c r="B51" s="5" t="s">
        <v>1173</v>
      </c>
    </row>
    <row r="52" spans="1:2" x14ac:dyDescent="0.2">
      <c r="A52" t="s">
        <v>3</v>
      </c>
      <c r="B52" s="5">
        <v>3111</v>
      </c>
    </row>
    <row r="53" spans="1:2" x14ac:dyDescent="0.2">
      <c r="A53" t="s">
        <v>4</v>
      </c>
      <c r="B53" s="5">
        <v>4.3</v>
      </c>
    </row>
    <row r="54" spans="1:2" x14ac:dyDescent="0.2">
      <c r="A54" t="s">
        <v>5</v>
      </c>
      <c r="B54" s="5" t="s">
        <v>842</v>
      </c>
    </row>
    <row r="55" spans="1:2" x14ac:dyDescent="0.2">
      <c r="A55" t="s">
        <v>7</v>
      </c>
      <c r="B55" s="5" t="s">
        <v>56</v>
      </c>
    </row>
    <row r="56" spans="1:2" x14ac:dyDescent="0.2">
      <c r="A56" t="s">
        <v>9</v>
      </c>
      <c r="B56" s="5" t="s">
        <v>1174</v>
      </c>
    </row>
    <row r="58" spans="1:2" x14ac:dyDescent="0.2">
      <c r="A58" t="s">
        <v>0</v>
      </c>
      <c r="B58" s="5">
        <v>8</v>
      </c>
    </row>
    <row r="59" spans="1:2" x14ac:dyDescent="0.2">
      <c r="A59" t="s">
        <v>1</v>
      </c>
      <c r="B59" s="5" t="s">
        <v>1175</v>
      </c>
    </row>
    <row r="60" spans="1:2" x14ac:dyDescent="0.2">
      <c r="A60" t="s">
        <v>3</v>
      </c>
      <c r="B60" s="5">
        <v>2845</v>
      </c>
    </row>
    <row r="61" spans="1:2" x14ac:dyDescent="0.2">
      <c r="A61" t="s">
        <v>4</v>
      </c>
      <c r="B61" s="5">
        <v>4.4000000000000004</v>
      </c>
    </row>
    <row r="62" spans="1:2" x14ac:dyDescent="0.2">
      <c r="A62" t="s">
        <v>5</v>
      </c>
      <c r="B62" s="5" t="s">
        <v>1176</v>
      </c>
    </row>
    <row r="63" spans="1:2" x14ac:dyDescent="0.2">
      <c r="A63" t="s">
        <v>7</v>
      </c>
      <c r="B63" s="5" t="s">
        <v>56</v>
      </c>
    </row>
    <row r="64" spans="1:2" x14ac:dyDescent="0.2">
      <c r="A64" t="s">
        <v>9</v>
      </c>
      <c r="B64" s="5" t="s">
        <v>1177</v>
      </c>
    </row>
    <row r="66" spans="1:12" x14ac:dyDescent="0.2">
      <c r="A66" t="s">
        <v>0</v>
      </c>
      <c r="B66" s="5">
        <v>9</v>
      </c>
    </row>
    <row r="67" spans="1:12" x14ac:dyDescent="0.2">
      <c r="A67" t="s">
        <v>1</v>
      </c>
      <c r="B67" s="5" t="s">
        <v>1178</v>
      </c>
    </row>
    <row r="68" spans="1:12" x14ac:dyDescent="0.2">
      <c r="A68" t="s">
        <v>3</v>
      </c>
      <c r="B68" s="5">
        <v>2787</v>
      </c>
    </row>
    <row r="69" spans="1:12" x14ac:dyDescent="0.2">
      <c r="A69" t="s">
        <v>4</v>
      </c>
      <c r="B69" s="5">
        <v>4.4000000000000004</v>
      </c>
    </row>
    <row r="70" spans="1:12" x14ac:dyDescent="0.2">
      <c r="A70" t="s">
        <v>5</v>
      </c>
      <c r="B70" s="5" t="s">
        <v>1179</v>
      </c>
    </row>
    <row r="71" spans="1:12" x14ac:dyDescent="0.2">
      <c r="A71" t="s">
        <v>7</v>
      </c>
      <c r="B71" s="5" t="s">
        <v>752</v>
      </c>
    </row>
    <row r="72" spans="1:12" s="3" customFormat="1" x14ac:dyDescent="0.2">
      <c r="A72" t="s">
        <v>9</v>
      </c>
      <c r="B72" s="5" t="s">
        <v>1180</v>
      </c>
      <c r="C72"/>
      <c r="D72"/>
      <c r="E72"/>
      <c r="F72"/>
      <c r="G72"/>
      <c r="H72"/>
      <c r="I72"/>
      <c r="J72"/>
      <c r="K72"/>
      <c r="L72"/>
    </row>
    <row r="73" spans="1:12" s="3" customFormat="1" x14ac:dyDescent="0.2">
      <c r="A73"/>
      <c r="B73" s="5"/>
      <c r="C73"/>
      <c r="D73"/>
      <c r="E73"/>
      <c r="F73"/>
      <c r="G73"/>
      <c r="H73"/>
      <c r="I73"/>
      <c r="J73"/>
      <c r="K73"/>
      <c r="L73"/>
    </row>
    <row r="74" spans="1:12" s="3" customFormat="1" x14ac:dyDescent="0.2">
      <c r="A74" t="s">
        <v>0</v>
      </c>
      <c r="B74" s="5">
        <v>10</v>
      </c>
      <c r="C74"/>
      <c r="D74"/>
      <c r="E74"/>
      <c r="F74"/>
      <c r="G74"/>
      <c r="H74"/>
      <c r="I74"/>
      <c r="J74"/>
      <c r="K74"/>
      <c r="L74"/>
    </row>
    <row r="75" spans="1:12" s="3" customFormat="1" x14ac:dyDescent="0.2">
      <c r="A75" t="s">
        <v>1</v>
      </c>
      <c r="B75" s="5" t="s">
        <v>1181</v>
      </c>
      <c r="C75"/>
      <c r="D75"/>
      <c r="E75"/>
      <c r="F75"/>
      <c r="G75"/>
      <c r="H75"/>
      <c r="I75"/>
      <c r="J75"/>
      <c r="K75"/>
      <c r="L75"/>
    </row>
    <row r="76" spans="1:12" s="3" customFormat="1" x14ac:dyDescent="0.2">
      <c r="A76" t="s">
        <v>3</v>
      </c>
      <c r="B76" s="5">
        <v>2780</v>
      </c>
      <c r="C76"/>
      <c r="D76"/>
      <c r="E76"/>
      <c r="F76"/>
      <c r="G76"/>
      <c r="H76"/>
      <c r="I76"/>
      <c r="J76"/>
      <c r="K76"/>
      <c r="L76"/>
    </row>
    <row r="77" spans="1:12" s="3" customFormat="1" x14ac:dyDescent="0.2">
      <c r="A77" t="s">
        <v>4</v>
      </c>
      <c r="B77" s="5">
        <v>4.5</v>
      </c>
      <c r="C77"/>
      <c r="D77"/>
      <c r="E77"/>
      <c r="F77"/>
      <c r="G77"/>
      <c r="H77"/>
      <c r="I77"/>
      <c r="J77"/>
      <c r="K77"/>
      <c r="L77"/>
    </row>
    <row r="78" spans="1:12" s="3" customFormat="1" x14ac:dyDescent="0.2">
      <c r="A78" t="s">
        <v>5</v>
      </c>
      <c r="B78" s="5" t="s">
        <v>1182</v>
      </c>
      <c r="C78"/>
      <c r="D78"/>
      <c r="E78"/>
      <c r="F78"/>
      <c r="G78"/>
      <c r="H78"/>
      <c r="I78"/>
      <c r="J78"/>
      <c r="K78"/>
      <c r="L78"/>
    </row>
    <row r="79" spans="1:12" x14ac:dyDescent="0.2">
      <c r="A79" t="s">
        <v>7</v>
      </c>
      <c r="B79" s="5" t="s">
        <v>681</v>
      </c>
    </row>
    <row r="80" spans="1:12" x14ac:dyDescent="0.2">
      <c r="A80" t="s">
        <v>9</v>
      </c>
      <c r="B80" s="5" t="s">
        <v>1183</v>
      </c>
    </row>
    <row r="82" spans="1:2" x14ac:dyDescent="0.2">
      <c r="A82" t="s">
        <v>0</v>
      </c>
      <c r="B82" s="5">
        <v>11</v>
      </c>
    </row>
    <row r="83" spans="1:2" x14ac:dyDescent="0.2">
      <c r="A83" t="s">
        <v>1</v>
      </c>
      <c r="B83" s="5" t="s">
        <v>1184</v>
      </c>
    </row>
    <row r="84" spans="1:2" x14ac:dyDescent="0.2">
      <c r="A84" t="s">
        <v>3</v>
      </c>
      <c r="B84" s="5">
        <v>2250</v>
      </c>
    </row>
    <row r="85" spans="1:2" x14ac:dyDescent="0.2">
      <c r="A85" t="s">
        <v>4</v>
      </c>
      <c r="B85" s="5">
        <v>4.7</v>
      </c>
    </row>
    <row r="86" spans="1:2" x14ac:dyDescent="0.2">
      <c r="A86" t="s">
        <v>5</v>
      </c>
      <c r="B86" s="5" t="s">
        <v>1185</v>
      </c>
    </row>
    <row r="87" spans="1:2" x14ac:dyDescent="0.2">
      <c r="A87" t="s">
        <v>7</v>
      </c>
      <c r="B87" s="5" t="s">
        <v>746</v>
      </c>
    </row>
    <row r="88" spans="1:2" x14ac:dyDescent="0.2">
      <c r="A88" t="s">
        <v>9</v>
      </c>
      <c r="B88" s="5" t="s">
        <v>1186</v>
      </c>
    </row>
    <row r="90" spans="1:2" x14ac:dyDescent="0.2">
      <c r="A90" t="s">
        <v>0</v>
      </c>
      <c r="B90" s="5">
        <v>12</v>
      </c>
    </row>
    <row r="91" spans="1:2" x14ac:dyDescent="0.2">
      <c r="A91" t="s">
        <v>1</v>
      </c>
      <c r="B91" s="5" t="s">
        <v>1187</v>
      </c>
    </row>
    <row r="92" spans="1:2" x14ac:dyDescent="0.2">
      <c r="A92" t="s">
        <v>3</v>
      </c>
      <c r="B92" s="5">
        <v>2240</v>
      </c>
    </row>
    <row r="93" spans="1:2" x14ac:dyDescent="0.2">
      <c r="A93" t="s">
        <v>4</v>
      </c>
      <c r="B93" s="5">
        <v>4.7</v>
      </c>
    </row>
    <row r="94" spans="1:2" x14ac:dyDescent="0.2">
      <c r="A94" t="s">
        <v>5</v>
      </c>
      <c r="B94" s="5" t="s">
        <v>543</v>
      </c>
    </row>
    <row r="95" spans="1:2" x14ac:dyDescent="0.2">
      <c r="A95" t="s">
        <v>7</v>
      </c>
      <c r="B95" s="5" t="s">
        <v>738</v>
      </c>
    </row>
    <row r="96" spans="1:2" x14ac:dyDescent="0.2">
      <c r="A96" t="s">
        <v>9</v>
      </c>
      <c r="B96" s="5" t="s">
        <v>1188</v>
      </c>
    </row>
    <row r="98" spans="1:2" x14ac:dyDescent="0.2">
      <c r="A98" t="s">
        <v>0</v>
      </c>
      <c r="B98" s="5">
        <v>13</v>
      </c>
    </row>
    <row r="99" spans="1:2" x14ac:dyDescent="0.2">
      <c r="A99" t="s">
        <v>1</v>
      </c>
      <c r="B99" s="5" t="s">
        <v>1189</v>
      </c>
    </row>
    <row r="100" spans="1:2" x14ac:dyDescent="0.2">
      <c r="A100" t="s">
        <v>3</v>
      </c>
      <c r="B100" s="5">
        <v>2173</v>
      </c>
    </row>
    <row r="101" spans="1:2" x14ac:dyDescent="0.2">
      <c r="A101" t="s">
        <v>4</v>
      </c>
      <c r="B101" s="5">
        <v>4.4000000000000004</v>
      </c>
    </row>
    <row r="102" spans="1:2" x14ac:dyDescent="0.2">
      <c r="A102" t="s">
        <v>5</v>
      </c>
      <c r="B102" s="5" t="s">
        <v>1190</v>
      </c>
    </row>
    <row r="103" spans="1:2" x14ac:dyDescent="0.2">
      <c r="A103" t="s">
        <v>7</v>
      </c>
      <c r="B103" s="5" t="s">
        <v>40</v>
      </c>
    </row>
    <row r="104" spans="1:2" x14ac:dyDescent="0.2">
      <c r="A104" t="s">
        <v>9</v>
      </c>
      <c r="B104" s="5" t="s">
        <v>1191</v>
      </c>
    </row>
    <row r="106" spans="1:2" x14ac:dyDescent="0.2">
      <c r="A106" t="s">
        <v>0</v>
      </c>
      <c r="B106" s="5">
        <v>14</v>
      </c>
    </row>
    <row r="107" spans="1:2" x14ac:dyDescent="0.2">
      <c r="A107" t="s">
        <v>1</v>
      </c>
      <c r="B107" s="5" t="s">
        <v>1192</v>
      </c>
    </row>
    <row r="108" spans="1:2" x14ac:dyDescent="0.2">
      <c r="A108" t="s">
        <v>3</v>
      </c>
      <c r="B108" s="5">
        <v>2153</v>
      </c>
    </row>
    <row r="109" spans="1:2" x14ac:dyDescent="0.2">
      <c r="A109" t="s">
        <v>4</v>
      </c>
      <c r="B109" s="5">
        <v>4.5</v>
      </c>
    </row>
    <row r="110" spans="1:2" x14ac:dyDescent="0.2">
      <c r="A110" t="s">
        <v>5</v>
      </c>
      <c r="B110" s="5" t="s">
        <v>1193</v>
      </c>
    </row>
    <row r="111" spans="1:2" x14ac:dyDescent="0.2">
      <c r="A111" t="s">
        <v>7</v>
      </c>
      <c r="B111" s="5" t="s">
        <v>1086</v>
      </c>
    </row>
    <row r="112" spans="1:2" x14ac:dyDescent="0.2">
      <c r="A112" t="s">
        <v>9</v>
      </c>
      <c r="B112" s="5" t="s">
        <v>1194</v>
      </c>
    </row>
    <row r="114" spans="1:2" x14ac:dyDescent="0.2">
      <c r="A114" t="s">
        <v>0</v>
      </c>
      <c r="B114" s="5">
        <v>15</v>
      </c>
    </row>
    <row r="115" spans="1:2" x14ac:dyDescent="0.2">
      <c r="A115" t="s">
        <v>1</v>
      </c>
      <c r="B115" s="5" t="s">
        <v>1195</v>
      </c>
    </row>
    <row r="116" spans="1:2" x14ac:dyDescent="0.2">
      <c r="A116" t="s">
        <v>3</v>
      </c>
      <c r="B116" s="5">
        <v>2109</v>
      </c>
    </row>
    <row r="117" spans="1:2" x14ac:dyDescent="0.2">
      <c r="A117" t="s">
        <v>4</v>
      </c>
      <c r="B117" s="5">
        <v>4.5</v>
      </c>
    </row>
    <row r="118" spans="1:2" x14ac:dyDescent="0.2">
      <c r="A118" t="s">
        <v>5</v>
      </c>
      <c r="B118" s="5" t="s">
        <v>1160</v>
      </c>
    </row>
    <row r="119" spans="1:2" x14ac:dyDescent="0.2">
      <c r="A119" t="s">
        <v>7</v>
      </c>
      <c r="B119" s="5" t="s">
        <v>770</v>
      </c>
    </row>
    <row r="120" spans="1:2" x14ac:dyDescent="0.2">
      <c r="A120" t="s">
        <v>9</v>
      </c>
      <c r="B120" s="5" t="s">
        <v>1196</v>
      </c>
    </row>
    <row r="122" spans="1:2" x14ac:dyDescent="0.2">
      <c r="A122" t="s">
        <v>0</v>
      </c>
      <c r="B122" s="5">
        <v>16</v>
      </c>
    </row>
    <row r="123" spans="1:2" x14ac:dyDescent="0.2">
      <c r="A123" t="s">
        <v>1</v>
      </c>
      <c r="B123" s="5" t="s">
        <v>1197</v>
      </c>
    </row>
    <row r="124" spans="1:2" x14ac:dyDescent="0.2">
      <c r="A124" t="s">
        <v>3</v>
      </c>
      <c r="B124" s="5">
        <v>2068</v>
      </c>
    </row>
    <row r="125" spans="1:2" x14ac:dyDescent="0.2">
      <c r="A125" t="s">
        <v>4</v>
      </c>
      <c r="B125" s="5">
        <v>4.8</v>
      </c>
    </row>
    <row r="126" spans="1:2" x14ac:dyDescent="0.2">
      <c r="A126" t="s">
        <v>5</v>
      </c>
      <c r="B126" s="5" t="s">
        <v>1198</v>
      </c>
    </row>
    <row r="127" spans="1:2" x14ac:dyDescent="0.2">
      <c r="A127" t="s">
        <v>7</v>
      </c>
      <c r="B127" s="5" t="s">
        <v>56</v>
      </c>
    </row>
    <row r="128" spans="1:2" x14ac:dyDescent="0.2">
      <c r="A128" t="s">
        <v>9</v>
      </c>
      <c r="B128" s="5" t="s">
        <v>1199</v>
      </c>
    </row>
    <row r="130" spans="1:2" x14ac:dyDescent="0.2">
      <c r="A130" t="s">
        <v>0</v>
      </c>
      <c r="B130" s="5">
        <v>17</v>
      </c>
    </row>
    <row r="131" spans="1:2" x14ac:dyDescent="0.2">
      <c r="A131" t="s">
        <v>1</v>
      </c>
      <c r="B131" s="5" t="s">
        <v>1200</v>
      </c>
    </row>
    <row r="132" spans="1:2" x14ac:dyDescent="0.2">
      <c r="A132" t="s">
        <v>3</v>
      </c>
      <c r="B132" s="5">
        <v>1951</v>
      </c>
    </row>
    <row r="133" spans="1:2" x14ac:dyDescent="0.2">
      <c r="A133" t="s">
        <v>4</v>
      </c>
      <c r="B133" s="5">
        <v>4.4000000000000004</v>
      </c>
    </row>
    <row r="134" spans="1:2" x14ac:dyDescent="0.2">
      <c r="A134" t="s">
        <v>5</v>
      </c>
      <c r="B134" s="5" t="s">
        <v>146</v>
      </c>
    </row>
    <row r="135" spans="1:2" x14ac:dyDescent="0.2">
      <c r="A135" t="s">
        <v>7</v>
      </c>
      <c r="B135" s="5" t="s">
        <v>746</v>
      </c>
    </row>
    <row r="136" spans="1:2" x14ac:dyDescent="0.2">
      <c r="A136" t="s">
        <v>9</v>
      </c>
      <c r="B136" s="5" t="s">
        <v>1201</v>
      </c>
    </row>
    <row r="138" spans="1:2" x14ac:dyDescent="0.2">
      <c r="A138" t="s">
        <v>0</v>
      </c>
      <c r="B138" s="5">
        <v>18</v>
      </c>
    </row>
    <row r="139" spans="1:2" x14ac:dyDescent="0.2">
      <c r="A139" t="s">
        <v>1</v>
      </c>
      <c r="B139" s="5" t="s">
        <v>1202</v>
      </c>
    </row>
    <row r="140" spans="1:2" x14ac:dyDescent="0.2">
      <c r="A140" t="s">
        <v>3</v>
      </c>
      <c r="B140" s="5">
        <v>1934</v>
      </c>
    </row>
    <row r="141" spans="1:2" x14ac:dyDescent="0.2">
      <c r="A141" t="s">
        <v>4</v>
      </c>
      <c r="B141" s="5">
        <v>4.7</v>
      </c>
    </row>
    <row r="142" spans="1:2" x14ac:dyDescent="0.2">
      <c r="A142" t="s">
        <v>5</v>
      </c>
      <c r="B142" s="5" t="s">
        <v>1203</v>
      </c>
    </row>
    <row r="143" spans="1:2" x14ac:dyDescent="0.2">
      <c r="A143" t="s">
        <v>7</v>
      </c>
      <c r="B143" s="5" t="s">
        <v>56</v>
      </c>
    </row>
    <row r="144" spans="1:2" x14ac:dyDescent="0.2">
      <c r="A144" t="s">
        <v>9</v>
      </c>
      <c r="B144" s="5" t="s">
        <v>1204</v>
      </c>
    </row>
    <row r="146" spans="1:2" x14ac:dyDescent="0.2">
      <c r="A146" t="s">
        <v>0</v>
      </c>
      <c r="B146" s="5">
        <v>19</v>
      </c>
    </row>
    <row r="147" spans="1:2" x14ac:dyDescent="0.2">
      <c r="A147" t="s">
        <v>1</v>
      </c>
      <c r="B147" s="5" t="s">
        <v>1205</v>
      </c>
    </row>
    <row r="148" spans="1:2" x14ac:dyDescent="0.2">
      <c r="A148" t="s">
        <v>3</v>
      </c>
      <c r="B148" s="5">
        <v>1885</v>
      </c>
    </row>
    <row r="149" spans="1:2" x14ac:dyDescent="0.2">
      <c r="A149" t="s">
        <v>4</v>
      </c>
      <c r="B149" s="5">
        <v>4.5999999999999996</v>
      </c>
    </row>
    <row r="150" spans="1:2" x14ac:dyDescent="0.2">
      <c r="A150" t="s">
        <v>5</v>
      </c>
      <c r="B150" s="5" t="s">
        <v>823</v>
      </c>
    </row>
    <row r="151" spans="1:2" x14ac:dyDescent="0.2">
      <c r="A151" t="s">
        <v>7</v>
      </c>
      <c r="B151" s="5" t="s">
        <v>180</v>
      </c>
    </row>
    <row r="152" spans="1:2" x14ac:dyDescent="0.2">
      <c r="A152" t="s">
        <v>9</v>
      </c>
      <c r="B152" s="5" t="s">
        <v>1206</v>
      </c>
    </row>
    <row r="154" spans="1:2" x14ac:dyDescent="0.2">
      <c r="A154" t="s">
        <v>0</v>
      </c>
      <c r="B154" s="5">
        <v>20</v>
      </c>
    </row>
    <row r="155" spans="1:2" x14ac:dyDescent="0.2">
      <c r="A155" t="s">
        <v>1</v>
      </c>
      <c r="B155" s="5" t="s">
        <v>1207</v>
      </c>
    </row>
    <row r="156" spans="1:2" x14ac:dyDescent="0.2">
      <c r="A156" t="s">
        <v>3</v>
      </c>
      <c r="B156" s="5">
        <v>1872</v>
      </c>
    </row>
    <row r="157" spans="1:2" x14ac:dyDescent="0.2">
      <c r="A157" t="s">
        <v>4</v>
      </c>
      <c r="B157" s="5">
        <v>4.4000000000000004</v>
      </c>
    </row>
    <row r="158" spans="1:2" x14ac:dyDescent="0.2">
      <c r="A158" t="s">
        <v>5</v>
      </c>
      <c r="B158" s="5" t="s">
        <v>1208</v>
      </c>
    </row>
    <row r="159" spans="1:2" x14ac:dyDescent="0.2">
      <c r="A159" t="s">
        <v>7</v>
      </c>
      <c r="B159" s="5" t="s">
        <v>738</v>
      </c>
    </row>
    <row r="160" spans="1:2" x14ac:dyDescent="0.2">
      <c r="A160" t="s">
        <v>9</v>
      </c>
      <c r="B160" s="5" t="s">
        <v>1209</v>
      </c>
    </row>
    <row r="162" spans="1:2" x14ac:dyDescent="0.2">
      <c r="A162" t="s">
        <v>0</v>
      </c>
      <c r="B162" s="5">
        <v>21</v>
      </c>
    </row>
    <row r="163" spans="1:2" x14ac:dyDescent="0.2">
      <c r="A163" t="s">
        <v>1</v>
      </c>
      <c r="B163" s="5" t="s">
        <v>1210</v>
      </c>
    </row>
    <row r="164" spans="1:2" x14ac:dyDescent="0.2">
      <c r="A164" t="s">
        <v>3</v>
      </c>
      <c r="B164" s="5">
        <v>1863</v>
      </c>
    </row>
    <row r="165" spans="1:2" x14ac:dyDescent="0.2">
      <c r="A165" t="s">
        <v>4</v>
      </c>
      <c r="B165" s="5">
        <v>4.7</v>
      </c>
    </row>
    <row r="166" spans="1:2" x14ac:dyDescent="0.2">
      <c r="A166" t="s">
        <v>5</v>
      </c>
      <c r="B166" s="5" t="s">
        <v>1211</v>
      </c>
    </row>
    <row r="167" spans="1:2" x14ac:dyDescent="0.2">
      <c r="A167" t="s">
        <v>7</v>
      </c>
      <c r="B167" s="5" t="s">
        <v>738</v>
      </c>
    </row>
    <row r="168" spans="1:2" x14ac:dyDescent="0.2">
      <c r="A168" t="s">
        <v>9</v>
      </c>
      <c r="B168" s="5" t="s">
        <v>1212</v>
      </c>
    </row>
    <row r="170" spans="1:2" x14ac:dyDescent="0.2">
      <c r="A170" t="s">
        <v>0</v>
      </c>
      <c r="B170" s="5">
        <v>22</v>
      </c>
    </row>
    <row r="171" spans="1:2" x14ac:dyDescent="0.2">
      <c r="A171" t="s">
        <v>1</v>
      </c>
      <c r="B171" s="5" t="s">
        <v>1213</v>
      </c>
    </row>
    <row r="172" spans="1:2" x14ac:dyDescent="0.2">
      <c r="A172" t="s">
        <v>3</v>
      </c>
      <c r="B172" s="5">
        <v>1798</v>
      </c>
    </row>
    <row r="173" spans="1:2" x14ac:dyDescent="0.2">
      <c r="A173" t="s">
        <v>4</v>
      </c>
      <c r="B173" s="5">
        <v>4.5</v>
      </c>
    </row>
    <row r="174" spans="1:2" x14ac:dyDescent="0.2">
      <c r="A174" t="s">
        <v>5</v>
      </c>
      <c r="B174" s="5" t="s">
        <v>1214</v>
      </c>
    </row>
    <row r="175" spans="1:2" x14ac:dyDescent="0.2">
      <c r="A175" t="s">
        <v>7</v>
      </c>
      <c r="B175" s="5" t="s">
        <v>1049</v>
      </c>
    </row>
    <row r="176" spans="1:2" x14ac:dyDescent="0.2">
      <c r="A176" t="s">
        <v>9</v>
      </c>
      <c r="B176" s="5" t="s">
        <v>1215</v>
      </c>
    </row>
    <row r="178" spans="1:2" x14ac:dyDescent="0.2">
      <c r="A178" t="s">
        <v>0</v>
      </c>
      <c r="B178" s="5">
        <v>23</v>
      </c>
    </row>
    <row r="179" spans="1:2" x14ac:dyDescent="0.2">
      <c r="A179" t="s">
        <v>1</v>
      </c>
      <c r="B179" s="5" t="s">
        <v>1216</v>
      </c>
    </row>
    <row r="180" spans="1:2" x14ac:dyDescent="0.2">
      <c r="A180" t="s">
        <v>3</v>
      </c>
      <c r="B180" s="5">
        <v>1737</v>
      </c>
    </row>
    <row r="181" spans="1:2" x14ac:dyDescent="0.2">
      <c r="A181" t="s">
        <v>4</v>
      </c>
      <c r="B181" s="5">
        <v>4.7</v>
      </c>
    </row>
    <row r="182" spans="1:2" x14ac:dyDescent="0.2">
      <c r="A182" t="s">
        <v>5</v>
      </c>
      <c r="B182" s="5" t="s">
        <v>1217</v>
      </c>
    </row>
    <row r="183" spans="1:2" x14ac:dyDescent="0.2">
      <c r="A183" t="s">
        <v>7</v>
      </c>
      <c r="B183" s="5" t="s">
        <v>180</v>
      </c>
    </row>
    <row r="184" spans="1:2" x14ac:dyDescent="0.2">
      <c r="A184" t="s">
        <v>9</v>
      </c>
      <c r="B184" s="5" t="s">
        <v>1199</v>
      </c>
    </row>
    <row r="186" spans="1:2" x14ac:dyDescent="0.2">
      <c r="A186" t="s">
        <v>0</v>
      </c>
      <c r="B186" s="5">
        <v>24</v>
      </c>
    </row>
    <row r="187" spans="1:2" x14ac:dyDescent="0.2">
      <c r="A187" t="s">
        <v>1</v>
      </c>
      <c r="B187" s="5" t="s">
        <v>1218</v>
      </c>
    </row>
    <row r="188" spans="1:2" x14ac:dyDescent="0.2">
      <c r="A188" t="s">
        <v>3</v>
      </c>
      <c r="B188" s="5">
        <v>1710</v>
      </c>
    </row>
    <row r="189" spans="1:2" x14ac:dyDescent="0.2">
      <c r="A189" t="s">
        <v>4</v>
      </c>
      <c r="B189" s="5">
        <v>4.5</v>
      </c>
    </row>
    <row r="190" spans="1:2" x14ac:dyDescent="0.2">
      <c r="A190" t="s">
        <v>5</v>
      </c>
      <c r="B190" s="5" t="s">
        <v>1102</v>
      </c>
    </row>
    <row r="191" spans="1:2" x14ac:dyDescent="0.2">
      <c r="A191" t="s">
        <v>7</v>
      </c>
      <c r="B191" s="5" t="s">
        <v>180</v>
      </c>
    </row>
    <row r="192" spans="1:2" x14ac:dyDescent="0.2">
      <c r="A192" t="s">
        <v>9</v>
      </c>
      <c r="B192" s="5" t="s">
        <v>1219</v>
      </c>
    </row>
    <row r="194" spans="1:2" x14ac:dyDescent="0.2">
      <c r="A194" t="s">
        <v>0</v>
      </c>
      <c r="B194" s="5">
        <v>25</v>
      </c>
    </row>
    <row r="195" spans="1:2" x14ac:dyDescent="0.2">
      <c r="A195" t="s">
        <v>1</v>
      </c>
      <c r="B195" s="5" t="s">
        <v>1220</v>
      </c>
    </row>
    <row r="196" spans="1:2" x14ac:dyDescent="0.2">
      <c r="A196" t="s">
        <v>3</v>
      </c>
      <c r="B196" s="5">
        <v>1710</v>
      </c>
    </row>
    <row r="197" spans="1:2" x14ac:dyDescent="0.2">
      <c r="A197" t="s">
        <v>4</v>
      </c>
      <c r="B197" s="5">
        <v>4.7</v>
      </c>
    </row>
    <row r="198" spans="1:2" x14ac:dyDescent="0.2">
      <c r="A198" t="s">
        <v>5</v>
      </c>
      <c r="B198" s="5" t="s">
        <v>193</v>
      </c>
    </row>
    <row r="199" spans="1:2" x14ac:dyDescent="0.2">
      <c r="A199" t="s">
        <v>7</v>
      </c>
      <c r="B199" s="5" t="s">
        <v>688</v>
      </c>
    </row>
    <row r="200" spans="1:2" x14ac:dyDescent="0.2">
      <c r="A200" t="s">
        <v>9</v>
      </c>
      <c r="B200" s="5" t="s">
        <v>1221</v>
      </c>
    </row>
    <row r="202" spans="1:2" x14ac:dyDescent="0.2">
      <c r="A202" t="s">
        <v>0</v>
      </c>
      <c r="B202" s="5">
        <v>26</v>
      </c>
    </row>
    <row r="203" spans="1:2" x14ac:dyDescent="0.2">
      <c r="A203" t="s">
        <v>1</v>
      </c>
      <c r="B203" s="5" t="s">
        <v>1222</v>
      </c>
    </row>
    <row r="204" spans="1:2" x14ac:dyDescent="0.2">
      <c r="A204" t="s">
        <v>3</v>
      </c>
      <c r="B204" s="5">
        <v>1591</v>
      </c>
    </row>
    <row r="205" spans="1:2" x14ac:dyDescent="0.2">
      <c r="A205" t="s">
        <v>4</v>
      </c>
      <c r="B205" s="5">
        <v>4.5</v>
      </c>
    </row>
    <row r="206" spans="1:2" x14ac:dyDescent="0.2">
      <c r="A206" t="s">
        <v>5</v>
      </c>
      <c r="B206" s="5" t="s">
        <v>1223</v>
      </c>
    </row>
    <row r="207" spans="1:2" x14ac:dyDescent="0.2">
      <c r="A207" t="s">
        <v>7</v>
      </c>
      <c r="B207" s="5" t="s">
        <v>681</v>
      </c>
    </row>
    <row r="208" spans="1:2" x14ac:dyDescent="0.2">
      <c r="A208" t="s">
        <v>9</v>
      </c>
      <c r="B208" s="5" t="s">
        <v>1224</v>
      </c>
    </row>
    <row r="210" spans="1:2" x14ac:dyDescent="0.2">
      <c r="A210" t="s">
        <v>0</v>
      </c>
      <c r="B210" s="5">
        <v>27</v>
      </c>
    </row>
    <row r="211" spans="1:2" x14ac:dyDescent="0.2">
      <c r="A211" t="s">
        <v>1</v>
      </c>
      <c r="B211" s="5" t="s">
        <v>1225</v>
      </c>
    </row>
    <row r="212" spans="1:2" x14ac:dyDescent="0.2">
      <c r="A212" t="s">
        <v>3</v>
      </c>
      <c r="B212" s="5">
        <v>1596</v>
      </c>
    </row>
    <row r="213" spans="1:2" x14ac:dyDescent="0.2">
      <c r="A213" t="s">
        <v>4</v>
      </c>
      <c r="B213" s="5">
        <v>4.5999999999999996</v>
      </c>
    </row>
    <row r="214" spans="1:2" x14ac:dyDescent="0.2">
      <c r="A214" t="s">
        <v>5</v>
      </c>
      <c r="B214" s="5" t="s">
        <v>1226</v>
      </c>
    </row>
    <row r="215" spans="1:2" x14ac:dyDescent="0.2">
      <c r="A215" t="s">
        <v>7</v>
      </c>
      <c r="B215" s="5" t="s">
        <v>738</v>
      </c>
    </row>
    <row r="216" spans="1:2" x14ac:dyDescent="0.2">
      <c r="A216" t="s">
        <v>9</v>
      </c>
      <c r="B216" s="5" t="s">
        <v>1227</v>
      </c>
    </row>
    <row r="218" spans="1:2" x14ac:dyDescent="0.2">
      <c r="A218" t="s">
        <v>0</v>
      </c>
      <c r="B218" s="5">
        <v>28</v>
      </c>
    </row>
    <row r="219" spans="1:2" x14ac:dyDescent="0.2">
      <c r="A219" t="s">
        <v>1</v>
      </c>
      <c r="B219" s="5" t="s">
        <v>1228</v>
      </c>
    </row>
    <row r="220" spans="1:2" x14ac:dyDescent="0.2">
      <c r="A220" t="s">
        <v>3</v>
      </c>
      <c r="B220" s="5">
        <v>1537</v>
      </c>
    </row>
    <row r="221" spans="1:2" x14ac:dyDescent="0.2">
      <c r="A221" t="s">
        <v>4</v>
      </c>
      <c r="B221" s="5">
        <v>4.4000000000000004</v>
      </c>
    </row>
    <row r="222" spans="1:2" x14ac:dyDescent="0.2">
      <c r="A222" t="s">
        <v>5</v>
      </c>
      <c r="B222" s="5" t="s">
        <v>1229</v>
      </c>
    </row>
    <row r="223" spans="1:2" x14ac:dyDescent="0.2">
      <c r="A223" t="s">
        <v>7</v>
      </c>
      <c r="B223" s="5" t="s">
        <v>56</v>
      </c>
    </row>
    <row r="224" spans="1:2" x14ac:dyDescent="0.2">
      <c r="A224" t="s">
        <v>9</v>
      </c>
      <c r="B224" s="5" t="s">
        <v>1230</v>
      </c>
    </row>
    <row r="226" spans="1:2" x14ac:dyDescent="0.2">
      <c r="A226" t="s">
        <v>0</v>
      </c>
      <c r="B226" s="5">
        <v>29</v>
      </c>
    </row>
    <row r="227" spans="1:2" x14ac:dyDescent="0.2">
      <c r="A227" t="s">
        <v>1</v>
      </c>
      <c r="B227" s="5" t="s">
        <v>1231</v>
      </c>
    </row>
    <row r="228" spans="1:2" x14ac:dyDescent="0.2">
      <c r="A228" t="s">
        <v>3</v>
      </c>
      <c r="B228" s="5">
        <v>1496</v>
      </c>
    </row>
    <row r="229" spans="1:2" x14ac:dyDescent="0.2">
      <c r="A229" t="s">
        <v>4</v>
      </c>
      <c r="B229" s="5">
        <v>4.5999999999999996</v>
      </c>
    </row>
    <row r="230" spans="1:2" x14ac:dyDescent="0.2">
      <c r="A230" t="s">
        <v>5</v>
      </c>
      <c r="B230" s="5" t="s">
        <v>1232</v>
      </c>
    </row>
    <row r="231" spans="1:2" x14ac:dyDescent="0.2">
      <c r="A231" t="s">
        <v>7</v>
      </c>
      <c r="B231" s="5" t="s">
        <v>738</v>
      </c>
    </row>
    <row r="232" spans="1:2" x14ac:dyDescent="0.2">
      <c r="A232" t="s">
        <v>9</v>
      </c>
      <c r="B232" s="5" t="s">
        <v>1233</v>
      </c>
    </row>
    <row r="234" spans="1:2" x14ac:dyDescent="0.2">
      <c r="A234" t="s">
        <v>0</v>
      </c>
      <c r="B234" s="5">
        <v>30</v>
      </c>
    </row>
    <row r="235" spans="1:2" x14ac:dyDescent="0.2">
      <c r="A235" t="s">
        <v>1</v>
      </c>
      <c r="B235" s="5" t="s">
        <v>1234</v>
      </c>
    </row>
    <row r="236" spans="1:2" x14ac:dyDescent="0.2">
      <c r="A236" t="s">
        <v>3</v>
      </c>
      <c r="B236" s="5">
        <v>1428</v>
      </c>
    </row>
    <row r="237" spans="1:2" x14ac:dyDescent="0.2">
      <c r="A237" t="s">
        <v>4</v>
      </c>
      <c r="B237" s="5">
        <v>4.5999999999999996</v>
      </c>
    </row>
    <row r="238" spans="1:2" x14ac:dyDescent="0.2">
      <c r="A238" t="s">
        <v>5</v>
      </c>
      <c r="B238" s="5" t="s">
        <v>1235</v>
      </c>
    </row>
    <row r="239" spans="1:2" x14ac:dyDescent="0.2">
      <c r="A239" t="s">
        <v>7</v>
      </c>
      <c r="B239" s="5" t="s">
        <v>56</v>
      </c>
    </row>
    <row r="240" spans="1:2" x14ac:dyDescent="0.2">
      <c r="A240" t="s">
        <v>9</v>
      </c>
      <c r="B240" s="5" t="s">
        <v>1236</v>
      </c>
    </row>
    <row r="242" spans="1:2" x14ac:dyDescent="0.2">
      <c r="A242" t="s">
        <v>0</v>
      </c>
      <c r="B242" s="5">
        <v>31</v>
      </c>
    </row>
    <row r="243" spans="1:2" x14ac:dyDescent="0.2">
      <c r="A243" t="s">
        <v>1</v>
      </c>
      <c r="B243" s="5" t="s">
        <v>1237</v>
      </c>
    </row>
    <row r="244" spans="1:2" x14ac:dyDescent="0.2">
      <c r="A244" t="s">
        <v>3</v>
      </c>
      <c r="B244" s="5">
        <v>1420</v>
      </c>
    </row>
    <row r="245" spans="1:2" x14ac:dyDescent="0.2">
      <c r="A245" t="s">
        <v>4</v>
      </c>
      <c r="B245" s="5">
        <v>4.7</v>
      </c>
    </row>
    <row r="246" spans="1:2" x14ac:dyDescent="0.2">
      <c r="A246" t="s">
        <v>5</v>
      </c>
      <c r="B246" s="5" t="s">
        <v>1238</v>
      </c>
    </row>
    <row r="247" spans="1:2" x14ac:dyDescent="0.2">
      <c r="A247" t="s">
        <v>7</v>
      </c>
      <c r="B247" s="5" t="s">
        <v>1239</v>
      </c>
    </row>
    <row r="248" spans="1:2" x14ac:dyDescent="0.2">
      <c r="A248" t="s">
        <v>9</v>
      </c>
      <c r="B248" s="5" t="s">
        <v>1240</v>
      </c>
    </row>
    <row r="250" spans="1:2" x14ac:dyDescent="0.2">
      <c r="A250" t="s">
        <v>0</v>
      </c>
      <c r="B250" s="5">
        <v>32</v>
      </c>
    </row>
    <row r="251" spans="1:2" x14ac:dyDescent="0.2">
      <c r="A251" t="s">
        <v>1</v>
      </c>
      <c r="B251" s="5" t="s">
        <v>1241</v>
      </c>
    </row>
    <row r="252" spans="1:2" x14ac:dyDescent="0.2">
      <c r="A252" t="s">
        <v>3</v>
      </c>
      <c r="B252" s="5">
        <v>1378</v>
      </c>
    </row>
    <row r="253" spans="1:2" x14ac:dyDescent="0.2">
      <c r="A253" t="s">
        <v>4</v>
      </c>
      <c r="B253" s="5">
        <v>4.5</v>
      </c>
    </row>
    <row r="254" spans="1:2" x14ac:dyDescent="0.2">
      <c r="A254" t="s">
        <v>5</v>
      </c>
      <c r="B254" s="5" t="s">
        <v>1242</v>
      </c>
    </row>
    <row r="255" spans="1:2" x14ac:dyDescent="0.2">
      <c r="A255" t="s">
        <v>7</v>
      </c>
      <c r="B255" s="5" t="s">
        <v>40</v>
      </c>
    </row>
    <row r="256" spans="1:2" x14ac:dyDescent="0.2">
      <c r="A256" t="s">
        <v>9</v>
      </c>
      <c r="B256" s="5" t="s">
        <v>1243</v>
      </c>
    </row>
    <row r="258" spans="1:2" x14ac:dyDescent="0.2">
      <c r="A258" t="s">
        <v>0</v>
      </c>
      <c r="B258" s="5">
        <v>33</v>
      </c>
    </row>
    <row r="259" spans="1:2" x14ac:dyDescent="0.2">
      <c r="A259" t="s">
        <v>1</v>
      </c>
      <c r="B259" s="5" t="s">
        <v>1244</v>
      </c>
    </row>
    <row r="260" spans="1:2" x14ac:dyDescent="0.2">
      <c r="A260" t="s">
        <v>3</v>
      </c>
      <c r="B260" s="5">
        <v>1337</v>
      </c>
    </row>
    <row r="261" spans="1:2" x14ac:dyDescent="0.2">
      <c r="A261" t="s">
        <v>4</v>
      </c>
      <c r="B261" s="5">
        <v>4.5</v>
      </c>
    </row>
    <row r="262" spans="1:2" x14ac:dyDescent="0.2">
      <c r="A262" t="s">
        <v>5</v>
      </c>
      <c r="B262" s="5" t="s">
        <v>1245</v>
      </c>
    </row>
    <row r="263" spans="1:2" x14ac:dyDescent="0.2">
      <c r="A263" t="s">
        <v>7</v>
      </c>
      <c r="B263" s="5" t="s">
        <v>752</v>
      </c>
    </row>
    <row r="264" spans="1:2" x14ac:dyDescent="0.2">
      <c r="A264" t="s">
        <v>9</v>
      </c>
      <c r="B264" s="5" t="s">
        <v>1246</v>
      </c>
    </row>
    <row r="266" spans="1:2" x14ac:dyDescent="0.2">
      <c r="A266" t="s">
        <v>0</v>
      </c>
      <c r="B266" s="5">
        <v>34</v>
      </c>
    </row>
    <row r="267" spans="1:2" x14ac:dyDescent="0.2">
      <c r="A267" t="s">
        <v>1</v>
      </c>
      <c r="B267" s="5" t="s">
        <v>1247</v>
      </c>
    </row>
    <row r="268" spans="1:2" x14ac:dyDescent="0.2">
      <c r="A268" t="s">
        <v>3</v>
      </c>
      <c r="B268" s="5">
        <v>1326</v>
      </c>
    </row>
    <row r="269" spans="1:2" x14ac:dyDescent="0.2">
      <c r="A269" t="s">
        <v>4</v>
      </c>
      <c r="B269" s="5">
        <v>4.8</v>
      </c>
    </row>
    <row r="270" spans="1:2" x14ac:dyDescent="0.2">
      <c r="A270" t="s">
        <v>5</v>
      </c>
      <c r="B270" s="5" t="s">
        <v>968</v>
      </c>
    </row>
    <row r="271" spans="1:2" x14ac:dyDescent="0.2">
      <c r="A271" t="s">
        <v>7</v>
      </c>
      <c r="B271" s="5" t="s">
        <v>798</v>
      </c>
    </row>
    <row r="272" spans="1:2" x14ac:dyDescent="0.2">
      <c r="A272" t="s">
        <v>9</v>
      </c>
      <c r="B272" s="5" t="s">
        <v>1248</v>
      </c>
    </row>
    <row r="274" spans="1:2" x14ac:dyDescent="0.2">
      <c r="A274" t="s">
        <v>0</v>
      </c>
      <c r="B274" s="5">
        <v>35</v>
      </c>
    </row>
    <row r="275" spans="1:2" x14ac:dyDescent="0.2">
      <c r="A275" t="s">
        <v>1</v>
      </c>
      <c r="B275" s="5" t="s">
        <v>1249</v>
      </c>
    </row>
    <row r="276" spans="1:2" x14ac:dyDescent="0.2">
      <c r="A276" t="s">
        <v>3</v>
      </c>
      <c r="B276" s="5">
        <v>1302</v>
      </c>
    </row>
    <row r="277" spans="1:2" x14ac:dyDescent="0.2">
      <c r="A277" t="s">
        <v>4</v>
      </c>
      <c r="B277" s="5">
        <v>4.7</v>
      </c>
    </row>
    <row r="278" spans="1:2" x14ac:dyDescent="0.2">
      <c r="A278" t="s">
        <v>5</v>
      </c>
      <c r="B278" s="5" t="s">
        <v>1250</v>
      </c>
    </row>
    <row r="279" spans="1:2" x14ac:dyDescent="0.2">
      <c r="A279" t="s">
        <v>7</v>
      </c>
      <c r="B279" s="5" t="s">
        <v>180</v>
      </c>
    </row>
    <row r="280" spans="1:2" x14ac:dyDescent="0.2">
      <c r="A280" t="s">
        <v>9</v>
      </c>
      <c r="B280" s="5" t="s">
        <v>1251</v>
      </c>
    </row>
    <row r="282" spans="1:2" x14ac:dyDescent="0.2">
      <c r="A282" t="s">
        <v>0</v>
      </c>
      <c r="B282" s="5">
        <v>36</v>
      </c>
    </row>
    <row r="283" spans="1:2" x14ac:dyDescent="0.2">
      <c r="A283" t="s">
        <v>1</v>
      </c>
      <c r="B283" s="5" t="s">
        <v>1252</v>
      </c>
    </row>
    <row r="284" spans="1:2" x14ac:dyDescent="0.2">
      <c r="A284" t="s">
        <v>3</v>
      </c>
      <c r="B284" s="5">
        <v>1266</v>
      </c>
    </row>
    <row r="285" spans="1:2" x14ac:dyDescent="0.2">
      <c r="A285" t="s">
        <v>4</v>
      </c>
      <c r="B285" s="5">
        <v>4.5999999999999996</v>
      </c>
    </row>
    <row r="286" spans="1:2" x14ac:dyDescent="0.2">
      <c r="A286" t="s">
        <v>5</v>
      </c>
      <c r="B286" s="5" t="s">
        <v>1253</v>
      </c>
    </row>
    <row r="287" spans="1:2" x14ac:dyDescent="0.2">
      <c r="A287" t="s">
        <v>7</v>
      </c>
      <c r="B287" s="5" t="s">
        <v>56</v>
      </c>
    </row>
    <row r="288" spans="1:2" x14ac:dyDescent="0.2">
      <c r="A288" t="s">
        <v>9</v>
      </c>
      <c r="B288" s="5" t="s">
        <v>1254</v>
      </c>
    </row>
    <row r="290" spans="1:2" x14ac:dyDescent="0.2">
      <c r="A290" t="s">
        <v>0</v>
      </c>
      <c r="B290" s="5">
        <v>37</v>
      </c>
    </row>
    <row r="291" spans="1:2" x14ac:dyDescent="0.2">
      <c r="A291" t="s">
        <v>1</v>
      </c>
      <c r="B291" s="5" t="s">
        <v>1255</v>
      </c>
    </row>
    <row r="292" spans="1:2" x14ac:dyDescent="0.2">
      <c r="A292" t="s">
        <v>3</v>
      </c>
      <c r="B292" s="5">
        <v>1257</v>
      </c>
    </row>
    <row r="293" spans="1:2" x14ac:dyDescent="0.2">
      <c r="A293" t="s">
        <v>4</v>
      </c>
      <c r="B293" s="5">
        <v>4.5999999999999996</v>
      </c>
    </row>
    <row r="294" spans="1:2" x14ac:dyDescent="0.2">
      <c r="A294" t="s">
        <v>5</v>
      </c>
      <c r="B294" s="5" t="s">
        <v>1256</v>
      </c>
    </row>
    <row r="295" spans="1:2" x14ac:dyDescent="0.2">
      <c r="A295" t="s">
        <v>7</v>
      </c>
      <c r="B295" s="5" t="s">
        <v>56</v>
      </c>
    </row>
    <row r="296" spans="1:2" x14ac:dyDescent="0.2">
      <c r="A296" t="s">
        <v>9</v>
      </c>
      <c r="B296" s="5" t="s">
        <v>1257</v>
      </c>
    </row>
    <row r="298" spans="1:2" x14ac:dyDescent="0.2">
      <c r="A298" t="s">
        <v>0</v>
      </c>
      <c r="B298" s="5">
        <v>38</v>
      </c>
    </row>
    <row r="299" spans="1:2" x14ac:dyDescent="0.2">
      <c r="A299" t="s">
        <v>1</v>
      </c>
      <c r="B299" s="5" t="s">
        <v>1258</v>
      </c>
    </row>
    <row r="300" spans="1:2" x14ac:dyDescent="0.2">
      <c r="A300" t="s">
        <v>3</v>
      </c>
      <c r="B300" s="5">
        <v>1254</v>
      </c>
    </row>
    <row r="301" spans="1:2" x14ac:dyDescent="0.2">
      <c r="A301" t="s">
        <v>4</v>
      </c>
      <c r="B301" s="5">
        <v>4.4000000000000004</v>
      </c>
    </row>
    <row r="302" spans="1:2" x14ac:dyDescent="0.2">
      <c r="A302" t="s">
        <v>5</v>
      </c>
      <c r="B302" s="5" t="s">
        <v>1259</v>
      </c>
    </row>
    <row r="303" spans="1:2" x14ac:dyDescent="0.2">
      <c r="A303" t="s">
        <v>7</v>
      </c>
      <c r="B303" s="5" t="s">
        <v>180</v>
      </c>
    </row>
    <row r="304" spans="1:2" x14ac:dyDescent="0.2">
      <c r="A304" t="s">
        <v>9</v>
      </c>
      <c r="B304" s="5" t="s">
        <v>1260</v>
      </c>
    </row>
    <row r="306" spans="1:2" x14ac:dyDescent="0.2">
      <c r="A306" t="s">
        <v>0</v>
      </c>
      <c r="B306" s="5">
        <v>39</v>
      </c>
    </row>
    <row r="307" spans="1:2" x14ac:dyDescent="0.2">
      <c r="A307" t="s">
        <v>1</v>
      </c>
      <c r="B307" s="5" t="s">
        <v>1261</v>
      </c>
    </row>
    <row r="308" spans="1:2" x14ac:dyDescent="0.2">
      <c r="A308" t="s">
        <v>3</v>
      </c>
      <c r="B308" s="5">
        <v>1253</v>
      </c>
    </row>
    <row r="309" spans="1:2" x14ac:dyDescent="0.2">
      <c r="A309" t="s">
        <v>4</v>
      </c>
      <c r="B309" s="5">
        <v>4.7</v>
      </c>
    </row>
    <row r="310" spans="1:2" x14ac:dyDescent="0.2">
      <c r="A310" t="s">
        <v>5</v>
      </c>
      <c r="B310" s="5" t="s">
        <v>1262</v>
      </c>
    </row>
    <row r="311" spans="1:2" x14ac:dyDescent="0.2">
      <c r="A311" t="s">
        <v>7</v>
      </c>
      <c r="B311" s="5" t="s">
        <v>1049</v>
      </c>
    </row>
    <row r="312" spans="1:2" x14ac:dyDescent="0.2">
      <c r="A312" t="s">
        <v>9</v>
      </c>
      <c r="B312" s="5" t="s">
        <v>1263</v>
      </c>
    </row>
    <row r="314" spans="1:2" x14ac:dyDescent="0.2">
      <c r="A314" t="s">
        <v>0</v>
      </c>
      <c r="B314" s="5">
        <v>40</v>
      </c>
    </row>
    <row r="315" spans="1:2" x14ac:dyDescent="0.2">
      <c r="A315" t="s">
        <v>1</v>
      </c>
      <c r="B315" s="5" t="s">
        <v>1264</v>
      </c>
    </row>
    <row r="316" spans="1:2" x14ac:dyDescent="0.2">
      <c r="A316" t="s">
        <v>3</v>
      </c>
      <c r="B316" s="5">
        <v>1234</v>
      </c>
    </row>
    <row r="317" spans="1:2" x14ac:dyDescent="0.2">
      <c r="A317" t="s">
        <v>4</v>
      </c>
      <c r="B317" s="5">
        <v>4.7</v>
      </c>
    </row>
    <row r="318" spans="1:2" x14ac:dyDescent="0.2">
      <c r="A318" t="s">
        <v>5</v>
      </c>
      <c r="B318" s="5" t="s">
        <v>1265</v>
      </c>
    </row>
    <row r="319" spans="1:2" x14ac:dyDescent="0.2">
      <c r="A319" t="s">
        <v>7</v>
      </c>
      <c r="B319" s="5" t="s">
        <v>770</v>
      </c>
    </row>
    <row r="320" spans="1:2" x14ac:dyDescent="0.2">
      <c r="A320" t="s">
        <v>9</v>
      </c>
      <c r="B320" s="5" t="s">
        <v>1266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汇总</vt:lpstr>
      <vt:lpstr>No.0001</vt:lpstr>
      <vt:lpstr>No.0002</vt:lpstr>
      <vt:lpstr>No.0003</vt:lpstr>
      <vt:lpstr>No.0004</vt:lpstr>
      <vt:lpstr>No.0005</vt:lpstr>
      <vt:lpstr>No.0006</vt:lpstr>
      <vt:lpstr>No.0007</vt:lpstr>
      <vt:lpstr>No.0008</vt:lpstr>
      <vt:lpstr>No.0009</vt:lpstr>
      <vt:lpstr>No.0101</vt:lpstr>
      <vt:lpstr>No.1101</vt:lpstr>
      <vt:lpstr>No.1102</vt:lpstr>
      <vt:lpstr>No.1201</vt:lpstr>
      <vt:lpstr>No.1501</vt:lpstr>
      <vt:lpstr>No.6101</vt:lpstr>
      <vt:lpstr>No.7101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2018-10-04T17:55:21Z</dcterms:modified>
</cp:coreProperties>
</file>